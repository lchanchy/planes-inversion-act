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LDiaz\Desktop\Informe semestral 2_2025\"/>
    </mc:Choice>
  </mc:AlternateContent>
  <xr:revisionPtr revIDLastSave="0" documentId="8_{F7D69863-C39E-4E7B-A7B7-CB3610C55EFA}" xr6:coauthVersionLast="47" xr6:coauthVersionMax="47" xr10:uidLastSave="{00000000-0000-0000-0000-000000000000}"/>
  <bookViews>
    <workbookView xWindow="28680" yWindow="-120" windowWidth="29040" windowHeight="15720" tabRatio="965" firstSheet="1" activeTab="1" xr2:uid="{00000000-000D-0000-FFFF-FFFF00000000}"/>
  </bookViews>
  <sheets>
    <sheet name="HERRAMIENTA_SEGUIMIENTO" sheetId="24" r:id="rId1"/>
    <sheet name="T4_2025" sheetId="30" r:id="rId2"/>
    <sheet name="Consolidado" sheetId="31" r:id="rId3"/>
  </sheets>
  <externalReferences>
    <externalReference r:id="rId4"/>
    <externalReference r:id="rId5"/>
  </externalReferences>
  <definedNames>
    <definedName name="_xlnm._FilterDatabase" localSheetId="1" hidden="1">T4_2025!$A$5:$CN$129</definedName>
    <definedName name="Belen_de_los_Andaquies">'[1]BD listas'!$C$3:$C$18</definedName>
    <definedName name="Municipios">'[1]BD listas'!$B$3:$B$13</definedName>
    <definedName name="resguardos">'[1]BD listas'!$I$2:$I$12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K135" i="30" l="1"/>
  <c r="EK133" i="30"/>
  <c r="EK131" i="30"/>
  <c r="IU38" i="30"/>
  <c r="IU39" i="30"/>
  <c r="IU40" i="30"/>
  <c r="IU41" i="30"/>
  <c r="IU42" i="30"/>
  <c r="IU43" i="30"/>
  <c r="IU44" i="30"/>
  <c r="IU45" i="30"/>
  <c r="IU46" i="30"/>
  <c r="IU47" i="30"/>
  <c r="IU48" i="30"/>
  <c r="IU49" i="30"/>
  <c r="IU50" i="30"/>
  <c r="IU51" i="30"/>
  <c r="IU52" i="30"/>
  <c r="IU53" i="30"/>
  <c r="IU54" i="30"/>
  <c r="IU55" i="30"/>
  <c r="IU56" i="30"/>
  <c r="IU57" i="30"/>
  <c r="IU58" i="30"/>
  <c r="IU59" i="30"/>
  <c r="IU60" i="30"/>
  <c r="IU61" i="30"/>
  <c r="IU62" i="30"/>
  <c r="IU63" i="30"/>
  <c r="IU64" i="30"/>
  <c r="IU65" i="30"/>
  <c r="IU66" i="30"/>
  <c r="IU67" i="30"/>
  <c r="IU68" i="30"/>
  <c r="IU69" i="30"/>
  <c r="IU70" i="30"/>
  <c r="IU71" i="30"/>
  <c r="IU72" i="30"/>
  <c r="IU73" i="30"/>
  <c r="IU74" i="30"/>
  <c r="IU75" i="30"/>
  <c r="IU76" i="30"/>
  <c r="IU77" i="30"/>
  <c r="IU78" i="30"/>
  <c r="IU79" i="30"/>
  <c r="IU80" i="30"/>
  <c r="IU81" i="30"/>
  <c r="IU82" i="30"/>
  <c r="IU83" i="30"/>
  <c r="IU84" i="30"/>
  <c r="IU85" i="30"/>
  <c r="IU86" i="30"/>
  <c r="IU87" i="30"/>
  <c r="IU88" i="30"/>
  <c r="IU89" i="30"/>
  <c r="IU90" i="30"/>
  <c r="IU91" i="30"/>
  <c r="IU92" i="30"/>
  <c r="IU93" i="30"/>
  <c r="IU94" i="30"/>
  <c r="IU95" i="30"/>
  <c r="IU96" i="30"/>
  <c r="IU97" i="30"/>
  <c r="IU98" i="30"/>
  <c r="IU99" i="30"/>
  <c r="IU100" i="30"/>
  <c r="IU101" i="30"/>
  <c r="IU102" i="30"/>
  <c r="IU103" i="30"/>
  <c r="IU104" i="30"/>
  <c r="IU105" i="30"/>
  <c r="IU106" i="30"/>
  <c r="IU107" i="30"/>
  <c r="IU108" i="30"/>
  <c r="IU109" i="30"/>
  <c r="IU110" i="30"/>
  <c r="IU111" i="30"/>
  <c r="IU112" i="30"/>
  <c r="IU113" i="30"/>
  <c r="IU114" i="30"/>
  <c r="IU115" i="30"/>
  <c r="IU116" i="30"/>
  <c r="IU117" i="30"/>
  <c r="IU118" i="30"/>
  <c r="IU119" i="30"/>
  <c r="IU120" i="30"/>
  <c r="IU121" i="30"/>
  <c r="IU122" i="30"/>
  <c r="IU123" i="30"/>
  <c r="IU124" i="30"/>
  <c r="IU125" i="30"/>
  <c r="IU126" i="30"/>
  <c r="IU127" i="30"/>
  <c r="IU128" i="30"/>
  <c r="IU12" i="30"/>
  <c r="IU8" i="30"/>
  <c r="IU9" i="30"/>
  <c r="IU10" i="30"/>
  <c r="IU11" i="30"/>
  <c r="IU13" i="30"/>
  <c r="IU14" i="30"/>
  <c r="IU15" i="30"/>
  <c r="IU16" i="30"/>
  <c r="IU17" i="30"/>
  <c r="IU18" i="30"/>
  <c r="IU19" i="30"/>
  <c r="IU20" i="30"/>
  <c r="IU21" i="30"/>
  <c r="IU22" i="30"/>
  <c r="IU23" i="30"/>
  <c r="IU24" i="30"/>
  <c r="IU25" i="30"/>
  <c r="IU26" i="30"/>
  <c r="IU27" i="30"/>
  <c r="IU28" i="30"/>
  <c r="IU29" i="30"/>
  <c r="IU30" i="30"/>
  <c r="IU31" i="30"/>
  <c r="IU32" i="30"/>
  <c r="IU33" i="30"/>
  <c r="IU34" i="30"/>
  <c r="IU35" i="30"/>
  <c r="IU36" i="30"/>
  <c r="IU37" i="30"/>
  <c r="IU7" i="30"/>
  <c r="IM38" i="30"/>
  <c r="IM39" i="30"/>
  <c r="IM40" i="30"/>
  <c r="IM41" i="30"/>
  <c r="IM42" i="30"/>
  <c r="IM43" i="30"/>
  <c r="IM44" i="30"/>
  <c r="IM45" i="30"/>
  <c r="IM46" i="30"/>
  <c r="IM47" i="30"/>
  <c r="IM48" i="30"/>
  <c r="IM49" i="30"/>
  <c r="IM50" i="30"/>
  <c r="IM51" i="30"/>
  <c r="IM52" i="30"/>
  <c r="IM53" i="30"/>
  <c r="IM54" i="30"/>
  <c r="IM55" i="30"/>
  <c r="IM56" i="30"/>
  <c r="IM57" i="30"/>
  <c r="IM58" i="30"/>
  <c r="IM59" i="30"/>
  <c r="IM60" i="30"/>
  <c r="IM61" i="30"/>
  <c r="IM62" i="30"/>
  <c r="IM63" i="30"/>
  <c r="IM64" i="30"/>
  <c r="IM65" i="30"/>
  <c r="IM66" i="30"/>
  <c r="IM67" i="30"/>
  <c r="IM68" i="30"/>
  <c r="IM69" i="30"/>
  <c r="IM70" i="30"/>
  <c r="IM71" i="30"/>
  <c r="IM72" i="30"/>
  <c r="IM73" i="30"/>
  <c r="IM74" i="30"/>
  <c r="IM75" i="30"/>
  <c r="IM76" i="30"/>
  <c r="IM77" i="30"/>
  <c r="IM78" i="30"/>
  <c r="IM79" i="30"/>
  <c r="IM80" i="30"/>
  <c r="IM81" i="30"/>
  <c r="IM82" i="30"/>
  <c r="IM83" i="30"/>
  <c r="IM84" i="30"/>
  <c r="IM85" i="30"/>
  <c r="IM86" i="30"/>
  <c r="IM87" i="30"/>
  <c r="IM88" i="30"/>
  <c r="IM89" i="30"/>
  <c r="IM90" i="30"/>
  <c r="IM91" i="30"/>
  <c r="IM92" i="30"/>
  <c r="IM93" i="30"/>
  <c r="IM94" i="30"/>
  <c r="IM95" i="30"/>
  <c r="IM96" i="30"/>
  <c r="IM97" i="30"/>
  <c r="IM98" i="30"/>
  <c r="IM99" i="30"/>
  <c r="IM100" i="30"/>
  <c r="IM101" i="30"/>
  <c r="IM102" i="30"/>
  <c r="IM103" i="30"/>
  <c r="IM104" i="30"/>
  <c r="IM105" i="30"/>
  <c r="IM106" i="30"/>
  <c r="IM107" i="30"/>
  <c r="IM108" i="30"/>
  <c r="IM109" i="30"/>
  <c r="IM110" i="30"/>
  <c r="IM111" i="30"/>
  <c r="IM112" i="30"/>
  <c r="IM113" i="30"/>
  <c r="IM114" i="30"/>
  <c r="IM115" i="30"/>
  <c r="IM116" i="30"/>
  <c r="IM117" i="30"/>
  <c r="IM118" i="30"/>
  <c r="IM119" i="30"/>
  <c r="IM120" i="30"/>
  <c r="IM121" i="30"/>
  <c r="IM122" i="30"/>
  <c r="IM123" i="30"/>
  <c r="IM124" i="30"/>
  <c r="IM125" i="30"/>
  <c r="IM126" i="30"/>
  <c r="IM127" i="30"/>
  <c r="IM128" i="30"/>
  <c r="IM8" i="30"/>
  <c r="IM9" i="30"/>
  <c r="IM10" i="30"/>
  <c r="IM11" i="30"/>
  <c r="IM12" i="30"/>
  <c r="IM13" i="30"/>
  <c r="IM14" i="30"/>
  <c r="IM15" i="30"/>
  <c r="IM16" i="30"/>
  <c r="IM17" i="30"/>
  <c r="IM18" i="30"/>
  <c r="IM19" i="30"/>
  <c r="IM20" i="30"/>
  <c r="IM21" i="30"/>
  <c r="IM22" i="30"/>
  <c r="IM23" i="30"/>
  <c r="IM24" i="30"/>
  <c r="IM25" i="30"/>
  <c r="IM26" i="30"/>
  <c r="IM27" i="30"/>
  <c r="IM28" i="30"/>
  <c r="IM29" i="30"/>
  <c r="IM30" i="30"/>
  <c r="IM31" i="30"/>
  <c r="IM32" i="30"/>
  <c r="IM33" i="30"/>
  <c r="IM34" i="30"/>
  <c r="IM35" i="30"/>
  <c r="IM36" i="30"/>
  <c r="IM37" i="30"/>
  <c r="IM7" i="30"/>
  <c r="IB129" i="30"/>
  <c r="HJ129" i="30"/>
  <c r="HA129" i="30"/>
  <c r="GR129" i="30"/>
  <c r="GI129" i="30"/>
  <c r="EZ129" i="30"/>
  <c r="FI129" i="30"/>
  <c r="FR129" i="30"/>
  <c r="EQ129" i="30"/>
  <c r="EH129" i="30"/>
  <c r="DY129" i="30"/>
  <c r="DQ129" i="30"/>
  <c r="DG129" i="30"/>
  <c r="CX129" i="30"/>
  <c r="CN129" i="30"/>
  <c r="CE129" i="30"/>
  <c r="BN129" i="30"/>
  <c r="BG129" i="30"/>
  <c r="AX129" i="30"/>
  <c r="AY129" i="30"/>
  <c r="AR129" i="30"/>
  <c r="AC129" i="30"/>
  <c r="U129" i="30"/>
  <c r="K129" i="30"/>
  <c r="L129" i="30"/>
  <c r="M129" i="30"/>
  <c r="N129" i="30"/>
  <c r="FZ129" i="30"/>
  <c r="IU129" i="30" l="1"/>
  <c r="IM129" i="30"/>
  <c r="HS129" i="30"/>
  <c r="AJ129" i="30" l="1"/>
  <c r="IA129" i="30"/>
  <c r="HI129" i="30"/>
  <c r="GZ129" i="30"/>
  <c r="GQ129" i="30"/>
  <c r="GH129" i="30"/>
  <c r="FY129" i="30"/>
  <c r="FQ129" i="30"/>
  <c r="FH129" i="30"/>
  <c r="EY129" i="30"/>
  <c r="EP129" i="30"/>
  <c r="EG129" i="30"/>
  <c r="DX129" i="30"/>
  <c r="DP129" i="30"/>
  <c r="DF129" i="30"/>
  <c r="CW129" i="30"/>
  <c r="CM129" i="30"/>
  <c r="CD129" i="30"/>
  <c r="BU129" i="30"/>
  <c r="BD129" i="30"/>
  <c r="BE129" i="30"/>
  <c r="BF129" i="30"/>
  <c r="BH129" i="30"/>
  <c r="BI129" i="30"/>
  <c r="BJ129" i="30"/>
  <c r="BK129" i="30"/>
  <c r="BL129" i="30"/>
  <c r="BM129" i="30"/>
  <c r="AS129" i="30"/>
  <c r="AT129" i="30"/>
  <c r="AU129" i="30"/>
  <c r="AV129" i="30"/>
  <c r="AW129" i="30"/>
  <c r="Z129" i="30"/>
  <c r="AA129" i="30"/>
  <c r="AB129" i="30"/>
  <c r="AD129" i="30"/>
  <c r="AE129" i="30"/>
  <c r="AF129" i="30"/>
  <c r="AG129" i="30"/>
  <c r="AH129" i="30"/>
  <c r="AI129" i="30"/>
  <c r="O129" i="30"/>
  <c r="P129" i="30"/>
  <c r="Q129" i="30"/>
  <c r="R129" i="30"/>
  <c r="S129" i="30"/>
  <c r="T129" i="30"/>
  <c r="HR129" i="30"/>
  <c r="L3" i="31" l="1"/>
  <c r="C3" i="31"/>
  <c r="I3" i="31"/>
  <c r="F3" i="31"/>
  <c r="AB136" i="30"/>
  <c r="AQ129" i="30"/>
  <c r="IT8" i="30"/>
  <c r="IT9" i="30"/>
  <c r="IT10" i="30"/>
  <c r="IT11" i="30"/>
  <c r="IT12" i="30"/>
  <c r="IT13" i="30"/>
  <c r="IT14" i="30"/>
  <c r="IT15" i="30"/>
  <c r="IT16" i="30"/>
  <c r="IT17" i="30"/>
  <c r="IT18" i="30"/>
  <c r="IT19" i="30"/>
  <c r="IT20" i="30"/>
  <c r="IT21" i="30"/>
  <c r="IT22" i="30"/>
  <c r="IT23" i="30"/>
  <c r="IT24" i="30"/>
  <c r="IT25" i="30"/>
  <c r="IT26" i="30"/>
  <c r="IT27" i="30"/>
  <c r="IT28" i="30"/>
  <c r="IT29" i="30"/>
  <c r="IT30" i="30"/>
  <c r="IT31" i="30"/>
  <c r="IT32" i="30"/>
  <c r="IT33" i="30"/>
  <c r="IT34" i="30"/>
  <c r="IT35" i="30"/>
  <c r="IT36" i="30"/>
  <c r="IT37" i="30"/>
  <c r="IT38" i="30"/>
  <c r="IT39" i="30"/>
  <c r="IT40" i="30"/>
  <c r="IT41" i="30"/>
  <c r="IT42" i="30"/>
  <c r="IT43" i="30"/>
  <c r="IT44" i="30"/>
  <c r="IT45" i="30"/>
  <c r="IT46" i="30"/>
  <c r="IT47" i="30"/>
  <c r="IT48" i="30"/>
  <c r="IT49" i="30"/>
  <c r="IT50" i="30"/>
  <c r="IT51" i="30"/>
  <c r="IT52" i="30"/>
  <c r="IT53" i="30"/>
  <c r="IT54" i="30"/>
  <c r="IT55" i="30"/>
  <c r="IT56" i="30"/>
  <c r="IT57" i="30"/>
  <c r="IT58" i="30"/>
  <c r="IT59" i="30"/>
  <c r="IT60" i="30"/>
  <c r="IT61" i="30"/>
  <c r="IT62" i="30"/>
  <c r="IT63" i="30"/>
  <c r="IT64" i="30"/>
  <c r="IT65" i="30"/>
  <c r="IT66" i="30"/>
  <c r="IT67" i="30"/>
  <c r="IT68" i="30"/>
  <c r="IT69" i="30"/>
  <c r="IT70" i="30"/>
  <c r="IT71" i="30"/>
  <c r="IT72" i="30"/>
  <c r="IT73" i="30"/>
  <c r="IT74" i="30"/>
  <c r="IT75" i="30"/>
  <c r="IT76" i="30"/>
  <c r="IT77" i="30"/>
  <c r="IT78" i="30"/>
  <c r="IT79" i="30"/>
  <c r="IT80" i="30"/>
  <c r="IT81" i="30"/>
  <c r="IT82" i="30"/>
  <c r="IT83" i="30"/>
  <c r="IT84" i="30"/>
  <c r="IT85" i="30"/>
  <c r="IT86" i="30"/>
  <c r="IT87" i="30"/>
  <c r="IT88" i="30"/>
  <c r="IT89" i="30"/>
  <c r="IT90" i="30"/>
  <c r="IT91" i="30"/>
  <c r="IT92" i="30"/>
  <c r="IT93" i="30"/>
  <c r="IT94" i="30"/>
  <c r="IT95" i="30"/>
  <c r="IT96" i="30"/>
  <c r="IT97" i="30"/>
  <c r="IT98" i="30"/>
  <c r="IT99" i="30"/>
  <c r="IT100" i="30"/>
  <c r="IT101" i="30"/>
  <c r="IT102" i="30"/>
  <c r="IT103" i="30"/>
  <c r="IT104" i="30"/>
  <c r="IT105" i="30"/>
  <c r="IT106" i="30"/>
  <c r="IT107" i="30"/>
  <c r="IT108" i="30"/>
  <c r="IT109" i="30"/>
  <c r="IT110" i="30"/>
  <c r="IT111" i="30"/>
  <c r="IT112" i="30"/>
  <c r="IT113" i="30"/>
  <c r="IT114" i="30"/>
  <c r="IT115" i="30"/>
  <c r="IT116" i="30"/>
  <c r="IT117" i="30"/>
  <c r="IT118" i="30"/>
  <c r="IT119" i="30"/>
  <c r="IT120" i="30"/>
  <c r="IT121" i="30"/>
  <c r="IT122" i="30"/>
  <c r="IT123" i="30"/>
  <c r="IT124" i="30"/>
  <c r="IT125" i="30"/>
  <c r="IT126" i="30"/>
  <c r="IT127" i="30"/>
  <c r="IT128" i="30"/>
  <c r="IT7" i="30"/>
  <c r="IL8" i="30"/>
  <c r="IL9" i="30"/>
  <c r="IL10" i="30"/>
  <c r="IL11" i="30"/>
  <c r="IL12" i="30"/>
  <c r="IL13" i="30"/>
  <c r="IL14" i="30"/>
  <c r="IL15" i="30"/>
  <c r="IL16" i="30"/>
  <c r="IL17" i="30"/>
  <c r="IL18" i="30"/>
  <c r="IL19" i="30"/>
  <c r="IL20" i="30"/>
  <c r="IL21" i="30"/>
  <c r="IL22" i="30"/>
  <c r="IL23" i="30"/>
  <c r="IL24" i="30"/>
  <c r="IL25" i="30"/>
  <c r="IL26" i="30"/>
  <c r="IL27" i="30"/>
  <c r="IL28" i="30"/>
  <c r="IL29" i="30"/>
  <c r="IL30" i="30"/>
  <c r="IL31" i="30"/>
  <c r="IL32" i="30"/>
  <c r="IL33" i="30"/>
  <c r="IL34" i="30"/>
  <c r="IL35" i="30"/>
  <c r="IL36" i="30"/>
  <c r="IL37" i="30"/>
  <c r="IL38" i="30"/>
  <c r="IL39" i="30"/>
  <c r="IL40" i="30"/>
  <c r="IL41" i="30"/>
  <c r="IL42" i="30"/>
  <c r="IL43" i="30"/>
  <c r="IL44" i="30"/>
  <c r="IL45" i="30"/>
  <c r="IL46" i="30"/>
  <c r="IL47" i="30"/>
  <c r="IL48" i="30"/>
  <c r="IL49" i="30"/>
  <c r="IL50" i="30"/>
  <c r="IL51" i="30"/>
  <c r="IL52" i="30"/>
  <c r="IL53" i="30"/>
  <c r="IL54" i="30"/>
  <c r="IL55" i="30"/>
  <c r="IL56" i="30"/>
  <c r="IL57" i="30"/>
  <c r="IL58" i="30"/>
  <c r="IL59" i="30"/>
  <c r="IL60" i="30"/>
  <c r="IL61" i="30"/>
  <c r="IL62" i="30"/>
  <c r="IL63" i="30"/>
  <c r="IL64" i="30"/>
  <c r="IL65" i="30"/>
  <c r="IL66" i="30"/>
  <c r="IL67" i="30"/>
  <c r="IL68" i="30"/>
  <c r="IL69" i="30"/>
  <c r="IL70" i="30"/>
  <c r="IL71" i="30"/>
  <c r="IL72" i="30"/>
  <c r="IL73" i="30"/>
  <c r="IL74" i="30"/>
  <c r="IL75" i="30"/>
  <c r="IL76" i="30"/>
  <c r="IL77" i="30"/>
  <c r="IL78" i="30"/>
  <c r="IL79" i="30"/>
  <c r="IL80" i="30"/>
  <c r="IL81" i="30"/>
  <c r="IL82" i="30"/>
  <c r="IL83" i="30"/>
  <c r="IL84" i="30"/>
  <c r="IL85" i="30"/>
  <c r="IL86" i="30"/>
  <c r="IL87" i="30"/>
  <c r="IL88" i="30"/>
  <c r="IL89" i="30"/>
  <c r="IL90" i="30"/>
  <c r="IL91" i="30"/>
  <c r="IL92" i="30"/>
  <c r="IL93" i="30"/>
  <c r="IL94" i="30"/>
  <c r="IL95" i="30"/>
  <c r="IL96" i="30"/>
  <c r="IL97" i="30"/>
  <c r="IL98" i="30"/>
  <c r="IL99" i="30"/>
  <c r="IL100" i="30"/>
  <c r="IL101" i="30"/>
  <c r="IL102" i="30"/>
  <c r="IL103" i="30"/>
  <c r="IL104" i="30"/>
  <c r="IL105" i="30"/>
  <c r="IL106" i="30"/>
  <c r="IL107" i="30"/>
  <c r="IL108" i="30"/>
  <c r="IL109" i="30"/>
  <c r="IL110" i="30"/>
  <c r="IL111" i="30"/>
  <c r="IL112" i="30"/>
  <c r="IL113" i="30"/>
  <c r="IL114" i="30"/>
  <c r="IL115" i="30"/>
  <c r="IL116" i="30"/>
  <c r="IL117" i="30"/>
  <c r="IL118" i="30"/>
  <c r="IL119" i="30"/>
  <c r="IL120" i="30"/>
  <c r="IL121" i="30"/>
  <c r="IL122" i="30"/>
  <c r="IL123" i="30"/>
  <c r="IL124" i="30"/>
  <c r="IL125" i="30"/>
  <c r="IL126" i="30"/>
  <c r="IL127" i="30"/>
  <c r="IL128" i="30"/>
  <c r="IL7" i="30"/>
  <c r="IT129" i="30" l="1"/>
  <c r="IL129" i="30"/>
  <c r="FS38" i="30"/>
  <c r="FS39" i="30"/>
  <c r="FS40" i="30"/>
  <c r="FS41" i="30"/>
  <c r="FS42" i="30"/>
  <c r="FS43" i="30"/>
  <c r="FS44" i="30"/>
  <c r="FS45" i="30"/>
  <c r="FS46" i="30"/>
  <c r="FS47" i="30"/>
  <c r="FS48" i="30"/>
  <c r="FS49" i="30"/>
  <c r="FS50" i="30"/>
  <c r="FS51" i="30"/>
  <c r="FS52" i="30"/>
  <c r="FS53" i="30"/>
  <c r="FS54" i="30"/>
  <c r="FS55" i="30"/>
  <c r="FS56" i="30"/>
  <c r="FS57" i="30"/>
  <c r="FS58" i="30"/>
  <c r="FS59" i="30"/>
  <c r="FS60" i="30"/>
  <c r="FS61" i="30"/>
  <c r="FS62" i="30"/>
  <c r="FS63" i="30"/>
  <c r="FS64" i="30"/>
  <c r="FS65" i="30"/>
  <c r="FS66" i="30"/>
  <c r="FS67" i="30"/>
  <c r="FS68" i="30"/>
  <c r="FS128" i="30"/>
  <c r="FS96" i="30"/>
  <c r="FS97" i="30"/>
  <c r="FS98" i="30"/>
  <c r="FS99" i="30"/>
  <c r="FS100" i="30"/>
  <c r="FS101" i="30"/>
  <c r="FS102" i="30"/>
  <c r="FS103" i="30"/>
  <c r="FS104" i="30"/>
  <c r="FS105" i="30"/>
  <c r="FS106" i="30"/>
  <c r="FS107" i="30"/>
  <c r="FS108" i="30"/>
  <c r="FS109" i="30"/>
  <c r="FS110" i="30"/>
  <c r="FS111" i="30"/>
  <c r="FS112" i="30"/>
  <c r="FS113" i="30"/>
  <c r="FS114" i="30"/>
  <c r="FS115" i="30"/>
  <c r="FS116" i="30"/>
  <c r="FS117" i="30"/>
  <c r="FS118" i="30"/>
  <c r="FS119" i="30"/>
  <c r="FS120" i="30"/>
  <c r="FS121" i="30"/>
  <c r="FS122" i="30"/>
  <c r="FS123" i="30"/>
  <c r="FS124" i="30"/>
  <c r="FS125" i="30"/>
  <c r="FS126" i="30"/>
  <c r="FS127" i="30"/>
  <c r="FS70" i="30"/>
  <c r="FS71" i="30"/>
  <c r="FS72" i="30"/>
  <c r="FS73" i="30"/>
  <c r="FS74" i="30"/>
  <c r="FS75" i="30"/>
  <c r="FS76" i="30"/>
  <c r="FS77" i="30"/>
  <c r="FS78" i="30"/>
  <c r="FS79" i="30"/>
  <c r="FS80" i="30"/>
  <c r="FS81" i="30"/>
  <c r="FS82" i="30"/>
  <c r="FS83" i="30"/>
  <c r="FS84" i="30"/>
  <c r="FS85" i="30"/>
  <c r="FS86" i="30"/>
  <c r="FS87" i="30"/>
  <c r="FS88" i="30"/>
  <c r="FS89" i="30"/>
  <c r="FS90" i="30"/>
  <c r="FS91" i="30"/>
  <c r="FS92" i="30"/>
  <c r="FS93" i="30"/>
  <c r="FS94" i="30"/>
  <c r="FS95" i="30"/>
  <c r="FS69" i="30"/>
  <c r="CL70" i="30"/>
  <c r="IK70" i="30" s="1"/>
  <c r="EN129" i="30"/>
  <c r="AO129" i="30"/>
  <c r="BC129" i="30"/>
  <c r="BS129" i="30"/>
  <c r="CB129" i="30"/>
  <c r="CC129" i="30"/>
  <c r="DE129" i="30"/>
  <c r="CK129" i="30"/>
  <c r="AL129" i="30"/>
  <c r="AM129" i="30"/>
  <c r="DD129" i="30"/>
  <c r="DN129" i="30"/>
  <c r="DV129" i="30"/>
  <c r="EE129" i="30"/>
  <c r="EW129" i="30"/>
  <c r="FF129" i="30"/>
  <c r="FO129" i="30"/>
  <c r="FW129" i="30"/>
  <c r="GF129" i="30"/>
  <c r="GO129" i="30"/>
  <c r="GX129" i="30"/>
  <c r="HG129" i="30"/>
  <c r="HP129" i="30"/>
  <c r="HY129" i="30"/>
  <c r="BT129" i="30"/>
  <c r="AP129" i="30"/>
  <c r="HZ129" i="30"/>
  <c r="HQ129" i="30"/>
  <c r="HH129" i="30"/>
  <c r="GY129" i="30"/>
  <c r="GP129" i="30"/>
  <c r="GG129" i="30"/>
  <c r="FX129" i="30"/>
  <c r="FP129" i="30"/>
  <c r="FG129" i="30"/>
  <c r="EX129" i="30"/>
  <c r="EF129" i="30"/>
  <c r="DW129" i="30"/>
  <c r="DO129" i="30"/>
  <c r="IS8" i="30"/>
  <c r="IS9" i="30"/>
  <c r="IS10" i="30"/>
  <c r="IS11" i="30"/>
  <c r="IS12" i="30"/>
  <c r="IS13" i="30"/>
  <c r="IS14" i="30"/>
  <c r="IS15" i="30"/>
  <c r="IS16" i="30"/>
  <c r="IS17" i="30"/>
  <c r="IS18" i="30"/>
  <c r="IS19" i="30"/>
  <c r="IS20" i="30"/>
  <c r="IS21" i="30"/>
  <c r="IS22" i="30"/>
  <c r="IS23" i="30"/>
  <c r="IS24" i="30"/>
  <c r="IS25" i="30"/>
  <c r="IS26" i="30"/>
  <c r="IS27" i="30"/>
  <c r="IS28" i="30"/>
  <c r="IS29" i="30"/>
  <c r="IS30" i="30"/>
  <c r="IS31" i="30"/>
  <c r="IS32" i="30"/>
  <c r="IS33" i="30"/>
  <c r="IS34" i="30"/>
  <c r="IS35" i="30"/>
  <c r="IS36" i="30"/>
  <c r="IS37" i="30"/>
  <c r="IS38" i="30"/>
  <c r="IS39" i="30"/>
  <c r="IS40" i="30"/>
  <c r="IS41" i="30"/>
  <c r="IS42" i="30"/>
  <c r="IS43" i="30"/>
  <c r="IS44" i="30"/>
  <c r="IS45" i="30"/>
  <c r="IS46" i="30"/>
  <c r="IS47" i="30"/>
  <c r="IS48" i="30"/>
  <c r="IS49" i="30"/>
  <c r="IS50" i="30"/>
  <c r="IS51" i="30"/>
  <c r="IS52" i="30"/>
  <c r="IS53" i="30"/>
  <c r="IS54" i="30"/>
  <c r="IS55" i="30"/>
  <c r="IS56" i="30"/>
  <c r="IS57" i="30"/>
  <c r="IS58" i="30"/>
  <c r="IS59" i="30"/>
  <c r="IS60" i="30"/>
  <c r="IS61" i="30"/>
  <c r="IS62" i="30"/>
  <c r="IS63" i="30"/>
  <c r="IS64" i="30"/>
  <c r="IS65" i="30"/>
  <c r="IS66" i="30"/>
  <c r="IS67" i="30"/>
  <c r="IS68" i="30"/>
  <c r="IS69" i="30"/>
  <c r="IS70" i="30"/>
  <c r="IS71" i="30"/>
  <c r="IS72" i="30"/>
  <c r="IS74" i="30"/>
  <c r="IS75" i="30"/>
  <c r="IS76" i="30"/>
  <c r="IS77" i="30"/>
  <c r="IS79" i="30"/>
  <c r="IS80" i="30"/>
  <c r="IS81" i="30"/>
  <c r="IS82" i="30"/>
  <c r="IS83" i="30"/>
  <c r="IS84" i="30"/>
  <c r="IS85" i="30"/>
  <c r="IS86" i="30"/>
  <c r="IS87" i="30"/>
  <c r="IS88" i="30"/>
  <c r="IS89" i="30"/>
  <c r="IS90" i="30"/>
  <c r="IS91" i="30"/>
  <c r="IS92" i="30"/>
  <c r="IS93" i="30"/>
  <c r="IS94" i="30"/>
  <c r="IS96" i="30"/>
  <c r="IS97" i="30"/>
  <c r="IS98" i="30"/>
  <c r="IS99" i="30"/>
  <c r="IS100" i="30"/>
  <c r="IS101" i="30"/>
  <c r="IS102" i="30"/>
  <c r="IS103" i="30"/>
  <c r="IS104" i="30"/>
  <c r="IS105" i="30"/>
  <c r="IS106" i="30"/>
  <c r="IS107" i="30"/>
  <c r="IS108" i="30"/>
  <c r="IS109" i="30"/>
  <c r="IS110" i="30"/>
  <c r="IS111" i="30"/>
  <c r="IS112" i="30"/>
  <c r="IS113" i="30"/>
  <c r="IS114" i="30"/>
  <c r="IS115" i="30"/>
  <c r="IS116" i="30"/>
  <c r="IS117" i="30"/>
  <c r="IS118" i="30"/>
  <c r="IS119" i="30"/>
  <c r="IS120" i="30"/>
  <c r="IS121" i="30"/>
  <c r="IS122" i="30"/>
  <c r="IS123" i="30"/>
  <c r="IS124" i="30"/>
  <c r="IS125" i="30"/>
  <c r="IS126" i="30"/>
  <c r="IS127" i="30"/>
  <c r="IS128" i="30"/>
  <c r="IK8" i="30"/>
  <c r="IK9" i="30"/>
  <c r="IK10" i="30"/>
  <c r="IK11" i="30"/>
  <c r="IK12" i="30"/>
  <c r="IK13" i="30"/>
  <c r="IK14" i="30"/>
  <c r="IK15" i="30"/>
  <c r="IK16" i="30"/>
  <c r="IK17" i="30"/>
  <c r="IK18" i="30"/>
  <c r="IK19" i="30"/>
  <c r="IK20" i="30"/>
  <c r="IK21" i="30"/>
  <c r="IK22" i="30"/>
  <c r="IK23" i="30"/>
  <c r="IK24" i="30"/>
  <c r="IK25" i="30"/>
  <c r="IK26" i="30"/>
  <c r="IK27" i="30"/>
  <c r="IK28" i="30"/>
  <c r="IK29" i="30"/>
  <c r="IK30" i="30"/>
  <c r="IK31" i="30"/>
  <c r="IK32" i="30"/>
  <c r="IK33" i="30"/>
  <c r="IK34" i="30"/>
  <c r="IK35" i="30"/>
  <c r="IK36" i="30"/>
  <c r="IK37" i="30"/>
  <c r="IK38" i="30"/>
  <c r="IK39" i="30"/>
  <c r="IK40" i="30"/>
  <c r="IK41" i="30"/>
  <c r="IK42" i="30"/>
  <c r="IK43" i="30"/>
  <c r="IK44" i="30"/>
  <c r="IK45" i="30"/>
  <c r="IK46" i="30"/>
  <c r="IK47" i="30"/>
  <c r="IK48" i="30"/>
  <c r="IK49" i="30"/>
  <c r="IK50" i="30"/>
  <c r="IK51" i="30"/>
  <c r="IK52" i="30"/>
  <c r="IK53" i="30"/>
  <c r="IK54" i="30"/>
  <c r="IK55" i="30"/>
  <c r="IK56" i="30"/>
  <c r="IK57" i="30"/>
  <c r="IK58" i="30"/>
  <c r="IK59" i="30"/>
  <c r="IK60" i="30"/>
  <c r="IK61" i="30"/>
  <c r="IK62" i="30"/>
  <c r="IK63" i="30"/>
  <c r="IK64" i="30"/>
  <c r="IK65" i="30"/>
  <c r="IK66" i="30"/>
  <c r="IK67" i="30"/>
  <c r="IK68" i="30"/>
  <c r="IK69" i="30"/>
  <c r="IK71" i="30"/>
  <c r="IK72" i="30"/>
  <c r="IK73" i="30"/>
  <c r="IK74" i="30"/>
  <c r="IK75" i="30"/>
  <c r="IK76" i="30"/>
  <c r="IK77" i="30"/>
  <c r="IK78" i="30"/>
  <c r="IK79" i="30"/>
  <c r="IK80" i="30"/>
  <c r="IK81" i="30"/>
  <c r="IK82" i="30"/>
  <c r="IK83" i="30"/>
  <c r="IK84" i="30"/>
  <c r="IK85" i="30"/>
  <c r="IK86" i="30"/>
  <c r="IK87" i="30"/>
  <c r="IK88" i="30"/>
  <c r="IK89" i="30"/>
  <c r="IK90" i="30"/>
  <c r="IK91" i="30"/>
  <c r="IK92" i="30"/>
  <c r="IK93" i="30"/>
  <c r="IK94" i="30"/>
  <c r="IK95" i="30"/>
  <c r="IK96" i="30"/>
  <c r="IK97" i="30"/>
  <c r="IK98" i="30"/>
  <c r="IK99" i="30"/>
  <c r="IK100" i="30"/>
  <c r="IK101" i="30"/>
  <c r="IK102" i="30"/>
  <c r="IK103" i="30"/>
  <c r="IK104" i="30"/>
  <c r="IK105" i="30"/>
  <c r="IK106" i="30"/>
  <c r="IK107" i="30"/>
  <c r="IK108" i="30"/>
  <c r="IK109" i="30"/>
  <c r="IK110" i="30"/>
  <c r="IK111" i="30"/>
  <c r="IK112" i="30"/>
  <c r="IK113" i="30"/>
  <c r="IK114" i="30"/>
  <c r="IK115" i="30"/>
  <c r="IK116" i="30"/>
  <c r="IK117" i="30"/>
  <c r="IK118" i="30"/>
  <c r="IK119" i="30"/>
  <c r="IK120" i="30"/>
  <c r="IK121" i="30"/>
  <c r="IK122" i="30"/>
  <c r="IK123" i="30"/>
  <c r="IK124" i="30"/>
  <c r="IK125" i="30"/>
  <c r="IK126" i="30"/>
  <c r="IK127" i="30"/>
  <c r="IK128" i="30"/>
  <c r="IS7" i="30"/>
  <c r="IK7" i="30"/>
  <c r="IJ38" i="30"/>
  <c r="AY3" i="31"/>
  <c r="AU3" i="31"/>
  <c r="IR8" i="30"/>
  <c r="IR9" i="30"/>
  <c r="IR10" i="30"/>
  <c r="IR11" i="30"/>
  <c r="IR12" i="30"/>
  <c r="IR13" i="30"/>
  <c r="IR14" i="30"/>
  <c r="IR15" i="30"/>
  <c r="IR16" i="30"/>
  <c r="IR17" i="30"/>
  <c r="IR18" i="30"/>
  <c r="IR19" i="30"/>
  <c r="IR20" i="30"/>
  <c r="IR21" i="30"/>
  <c r="IR22" i="30"/>
  <c r="IR23" i="30"/>
  <c r="IR24" i="30"/>
  <c r="IR25" i="30"/>
  <c r="IR26" i="30"/>
  <c r="IR27" i="30"/>
  <c r="IR28" i="30"/>
  <c r="IR29" i="30"/>
  <c r="IR30" i="30"/>
  <c r="IR31" i="30"/>
  <c r="IR32" i="30"/>
  <c r="IR33" i="30"/>
  <c r="IR34" i="30"/>
  <c r="IR35" i="30"/>
  <c r="IR36" i="30"/>
  <c r="IR37" i="30"/>
  <c r="IR38" i="30"/>
  <c r="IR39" i="30"/>
  <c r="IR40" i="30"/>
  <c r="IR41" i="30"/>
  <c r="IR42" i="30"/>
  <c r="IR43" i="30"/>
  <c r="IR44" i="30"/>
  <c r="IR45" i="30"/>
  <c r="IR46" i="30"/>
  <c r="IR47" i="30"/>
  <c r="IR48" i="30"/>
  <c r="IR49" i="30"/>
  <c r="IR50" i="30"/>
  <c r="IR51" i="30"/>
  <c r="IR52" i="30"/>
  <c r="IR53" i="30"/>
  <c r="IR54" i="30"/>
  <c r="IR55" i="30"/>
  <c r="IR56" i="30"/>
  <c r="IR57" i="30"/>
  <c r="IR58" i="30"/>
  <c r="IR59" i="30"/>
  <c r="IR60" i="30"/>
  <c r="IR61" i="30"/>
  <c r="IR62" i="30"/>
  <c r="IR63" i="30"/>
  <c r="IR64" i="30"/>
  <c r="IR65" i="30"/>
  <c r="IR66" i="30"/>
  <c r="IR67" i="30"/>
  <c r="IR68" i="30"/>
  <c r="IR69" i="30"/>
  <c r="IR70" i="30"/>
  <c r="IR71" i="30"/>
  <c r="IR72" i="30"/>
  <c r="IR73" i="30"/>
  <c r="IR74" i="30"/>
  <c r="IR75" i="30"/>
  <c r="IR76" i="30"/>
  <c r="IR77" i="30"/>
  <c r="IR78" i="30"/>
  <c r="IR79" i="30"/>
  <c r="IR80" i="30"/>
  <c r="IR82" i="30"/>
  <c r="IR83" i="30"/>
  <c r="IR84" i="30"/>
  <c r="IR85" i="30"/>
  <c r="IR86" i="30"/>
  <c r="IR87" i="30"/>
  <c r="IR88" i="30"/>
  <c r="IR89" i="30"/>
  <c r="IR90" i="30"/>
  <c r="IR91" i="30"/>
  <c r="IR92" i="30"/>
  <c r="IR93" i="30"/>
  <c r="IR94" i="30"/>
  <c r="IR96" i="30"/>
  <c r="IR97" i="30"/>
  <c r="IR98" i="30"/>
  <c r="IR99" i="30"/>
  <c r="IR100" i="30"/>
  <c r="IR101" i="30"/>
  <c r="IR102" i="30"/>
  <c r="IR103" i="30"/>
  <c r="IR104" i="30"/>
  <c r="IR105" i="30"/>
  <c r="IR106" i="30"/>
  <c r="IR107" i="30"/>
  <c r="IR108" i="30"/>
  <c r="IR109" i="30"/>
  <c r="IR110" i="30"/>
  <c r="IR111" i="30"/>
  <c r="IR112" i="30"/>
  <c r="IR113" i="30"/>
  <c r="IR114" i="30"/>
  <c r="IR115" i="30"/>
  <c r="IR116" i="30"/>
  <c r="IR117" i="30"/>
  <c r="IR118" i="30"/>
  <c r="IR119" i="30"/>
  <c r="IR120" i="30"/>
  <c r="IR121" i="30"/>
  <c r="IR122" i="30"/>
  <c r="IR123" i="30"/>
  <c r="IR124" i="30"/>
  <c r="IR125" i="30"/>
  <c r="IR126" i="30"/>
  <c r="IR127" i="30"/>
  <c r="IR128" i="30"/>
  <c r="IR7" i="30"/>
  <c r="IJ8" i="30"/>
  <c r="IJ9" i="30"/>
  <c r="IJ10" i="30"/>
  <c r="IJ11" i="30"/>
  <c r="IJ12" i="30"/>
  <c r="IJ13" i="30"/>
  <c r="IJ14" i="30"/>
  <c r="IJ15" i="30"/>
  <c r="IJ16" i="30"/>
  <c r="IJ17" i="30"/>
  <c r="IJ18" i="30"/>
  <c r="IJ19" i="30"/>
  <c r="IJ20" i="30"/>
  <c r="IJ21" i="30"/>
  <c r="IJ22" i="30"/>
  <c r="IJ23" i="30"/>
  <c r="IJ24" i="30"/>
  <c r="IJ25" i="30"/>
  <c r="IJ26" i="30"/>
  <c r="IJ27" i="30"/>
  <c r="IJ28" i="30"/>
  <c r="IJ29" i="30"/>
  <c r="IJ30" i="30"/>
  <c r="IJ31" i="30"/>
  <c r="IJ32" i="30"/>
  <c r="IJ33" i="30"/>
  <c r="IJ34" i="30"/>
  <c r="IJ35" i="30"/>
  <c r="IJ36" i="30"/>
  <c r="IJ37" i="30"/>
  <c r="IJ39" i="30"/>
  <c r="IJ40" i="30"/>
  <c r="IJ41" i="30"/>
  <c r="IJ42" i="30"/>
  <c r="IJ43" i="30"/>
  <c r="IJ44" i="30"/>
  <c r="IJ45" i="30"/>
  <c r="IJ46" i="30"/>
  <c r="IJ47" i="30"/>
  <c r="IJ48" i="30"/>
  <c r="IJ49" i="30"/>
  <c r="IJ50" i="30"/>
  <c r="IJ51" i="30"/>
  <c r="IJ52" i="30"/>
  <c r="IJ53" i="30"/>
  <c r="IJ54" i="30"/>
  <c r="IJ55" i="30"/>
  <c r="IJ56" i="30"/>
  <c r="IJ57" i="30"/>
  <c r="IJ58" i="30"/>
  <c r="IJ59" i="30"/>
  <c r="IJ60" i="30"/>
  <c r="IJ61" i="30"/>
  <c r="IJ62" i="30"/>
  <c r="IJ63" i="30"/>
  <c r="IJ64" i="30"/>
  <c r="IJ65" i="30"/>
  <c r="IJ66" i="30"/>
  <c r="IJ67" i="30"/>
  <c r="IJ68" i="30"/>
  <c r="IJ69" i="30"/>
  <c r="IJ70" i="30"/>
  <c r="IJ71" i="30"/>
  <c r="IJ72" i="30"/>
  <c r="IJ73" i="30"/>
  <c r="IJ74" i="30"/>
  <c r="IJ75" i="30"/>
  <c r="IJ76" i="30"/>
  <c r="IJ77" i="30"/>
  <c r="IJ78" i="30"/>
  <c r="IJ79" i="30"/>
  <c r="IJ80" i="30"/>
  <c r="IJ81" i="30"/>
  <c r="IJ82" i="30"/>
  <c r="IJ83" i="30"/>
  <c r="IJ84" i="30"/>
  <c r="IJ85" i="30"/>
  <c r="IJ86" i="30"/>
  <c r="IJ87" i="30"/>
  <c r="IJ88" i="30"/>
  <c r="IJ89" i="30"/>
  <c r="IJ90" i="30"/>
  <c r="IJ91" i="30"/>
  <c r="IJ92" i="30"/>
  <c r="IJ93" i="30"/>
  <c r="IJ94" i="30"/>
  <c r="IJ95" i="30"/>
  <c r="IJ96" i="30"/>
  <c r="IJ97" i="30"/>
  <c r="IJ98" i="30"/>
  <c r="IJ99" i="30"/>
  <c r="IJ100" i="30"/>
  <c r="IJ101" i="30"/>
  <c r="IJ102" i="30"/>
  <c r="IJ103" i="30"/>
  <c r="IJ104" i="30"/>
  <c r="IJ105" i="30"/>
  <c r="IJ106" i="30"/>
  <c r="IJ107" i="30"/>
  <c r="IJ108" i="30"/>
  <c r="IJ109" i="30"/>
  <c r="IJ110" i="30"/>
  <c r="IJ111" i="30"/>
  <c r="IJ112" i="30"/>
  <c r="IJ113" i="30"/>
  <c r="IJ114" i="30"/>
  <c r="IJ115" i="30"/>
  <c r="IJ116" i="30"/>
  <c r="IJ117" i="30"/>
  <c r="IJ118" i="30"/>
  <c r="IJ119" i="30"/>
  <c r="IJ120" i="30"/>
  <c r="IJ121" i="30"/>
  <c r="IJ122" i="30"/>
  <c r="IJ123" i="30"/>
  <c r="IJ124" i="30"/>
  <c r="IJ125" i="30"/>
  <c r="IJ126" i="30"/>
  <c r="IJ127" i="30"/>
  <c r="IJ128" i="30"/>
  <c r="IJ7" i="30"/>
  <c r="IR81" i="30" l="1"/>
  <c r="CL129" i="30"/>
  <c r="CU129" i="30"/>
  <c r="IR95" i="30"/>
  <c r="IS95" i="30"/>
  <c r="IK129" i="30"/>
  <c r="IJ129" i="30"/>
  <c r="CR129" i="30"/>
  <c r="IR129" i="30" l="1"/>
  <c r="IV129" i="30"/>
  <c r="IN128" i="30"/>
  <c r="IQ49" i="30" l="1"/>
  <c r="IQ50" i="30"/>
  <c r="IQ51" i="30"/>
  <c r="IQ52" i="30"/>
  <c r="IQ53" i="30"/>
  <c r="IQ54" i="30"/>
  <c r="IQ55" i="30"/>
  <c r="IQ56" i="30"/>
  <c r="IQ57" i="30"/>
  <c r="IQ58" i="30"/>
  <c r="IQ59" i="30"/>
  <c r="IQ60" i="30"/>
  <c r="IQ61" i="30"/>
  <c r="IQ62" i="30"/>
  <c r="IQ63" i="30"/>
  <c r="IQ64" i="30"/>
  <c r="IQ65" i="30"/>
  <c r="IQ66" i="30"/>
  <c r="IQ67" i="30"/>
  <c r="IQ68" i="30"/>
  <c r="IQ69" i="30"/>
  <c r="IQ70" i="30"/>
  <c r="IQ71" i="30"/>
  <c r="IQ72" i="30"/>
  <c r="IQ73" i="30"/>
  <c r="IQ74" i="30"/>
  <c r="IQ75" i="30"/>
  <c r="IQ76" i="30"/>
  <c r="IQ77" i="30"/>
  <c r="IQ78" i="30"/>
  <c r="IQ79" i="30"/>
  <c r="IQ80" i="30"/>
  <c r="IQ81" i="30"/>
  <c r="IQ82" i="30"/>
  <c r="IQ83" i="30"/>
  <c r="IQ84" i="30"/>
  <c r="IQ85" i="30"/>
  <c r="IQ86" i="30"/>
  <c r="IQ87" i="30"/>
  <c r="IQ88" i="30"/>
  <c r="IQ89" i="30"/>
  <c r="IQ90" i="30"/>
  <c r="IQ91" i="30"/>
  <c r="IQ92" i="30"/>
  <c r="IQ93" i="30"/>
  <c r="IQ94" i="30"/>
  <c r="IQ95" i="30"/>
  <c r="IQ96" i="30"/>
  <c r="IQ97" i="30"/>
  <c r="IQ98" i="30"/>
  <c r="IQ99" i="30"/>
  <c r="IQ100" i="30"/>
  <c r="IQ101" i="30"/>
  <c r="IQ102" i="30"/>
  <c r="IQ103" i="30"/>
  <c r="IQ104" i="30"/>
  <c r="IQ105" i="30"/>
  <c r="IQ106" i="30"/>
  <c r="IQ107" i="30"/>
  <c r="IQ108" i="30"/>
  <c r="IQ109" i="30"/>
  <c r="IQ110" i="30"/>
  <c r="IQ111" i="30"/>
  <c r="IQ112" i="30"/>
  <c r="IQ113" i="30"/>
  <c r="IQ114" i="30"/>
  <c r="IQ115" i="30"/>
  <c r="IQ116" i="30"/>
  <c r="IQ117" i="30"/>
  <c r="IQ118" i="30"/>
  <c r="IQ119" i="30"/>
  <c r="IQ120" i="30"/>
  <c r="IQ121" i="30"/>
  <c r="IQ122" i="30"/>
  <c r="IQ123" i="30"/>
  <c r="IQ124" i="30"/>
  <c r="IQ125" i="30"/>
  <c r="IQ126" i="30"/>
  <c r="IQ127" i="30"/>
  <c r="IQ128" i="30"/>
  <c r="IQ8" i="30"/>
  <c r="IQ9" i="30"/>
  <c r="IQ10" i="30"/>
  <c r="IQ11" i="30"/>
  <c r="IQ12" i="30"/>
  <c r="IQ13" i="30"/>
  <c r="IQ14" i="30"/>
  <c r="IQ15" i="30"/>
  <c r="IQ16" i="30"/>
  <c r="IQ17" i="30"/>
  <c r="IQ18" i="30"/>
  <c r="IQ19" i="30"/>
  <c r="IQ20" i="30"/>
  <c r="IQ21" i="30"/>
  <c r="IQ22" i="30"/>
  <c r="IQ23" i="30"/>
  <c r="IQ24" i="30"/>
  <c r="IQ25" i="30"/>
  <c r="IQ26" i="30"/>
  <c r="IQ27" i="30"/>
  <c r="IQ28" i="30"/>
  <c r="IQ29" i="30"/>
  <c r="IQ30" i="30"/>
  <c r="IQ31" i="30"/>
  <c r="IQ32" i="30"/>
  <c r="IQ33" i="30"/>
  <c r="IQ34" i="30"/>
  <c r="IQ35" i="30"/>
  <c r="IQ36" i="30"/>
  <c r="IQ37" i="30"/>
  <c r="IQ38" i="30"/>
  <c r="IQ39" i="30"/>
  <c r="IQ40" i="30"/>
  <c r="IQ41" i="30"/>
  <c r="IQ42" i="30"/>
  <c r="IQ43" i="30"/>
  <c r="IQ44" i="30"/>
  <c r="IQ45" i="30"/>
  <c r="IQ46" i="30"/>
  <c r="IQ47" i="30"/>
  <c r="IQ48" i="30"/>
  <c r="IQ7" i="30"/>
  <c r="II7" i="30"/>
  <c r="II96" i="30"/>
  <c r="II97" i="30"/>
  <c r="II98" i="30"/>
  <c r="II99" i="30"/>
  <c r="II100" i="30"/>
  <c r="II101" i="30"/>
  <c r="II102" i="30"/>
  <c r="II103" i="30"/>
  <c r="II104" i="30"/>
  <c r="II105" i="30"/>
  <c r="II106" i="30"/>
  <c r="II107" i="30"/>
  <c r="II108" i="30"/>
  <c r="II109" i="30"/>
  <c r="II110" i="30"/>
  <c r="II111" i="30"/>
  <c r="II112" i="30"/>
  <c r="II113" i="30"/>
  <c r="II114" i="30"/>
  <c r="II115" i="30"/>
  <c r="II116" i="30"/>
  <c r="II117" i="30"/>
  <c r="II118" i="30"/>
  <c r="II119" i="30"/>
  <c r="II120" i="30"/>
  <c r="II121" i="30"/>
  <c r="II122" i="30"/>
  <c r="II123" i="30"/>
  <c r="II124" i="30"/>
  <c r="II125" i="30"/>
  <c r="II126" i="30"/>
  <c r="II127" i="30"/>
  <c r="II128" i="30"/>
  <c r="II8" i="30"/>
  <c r="II9" i="30"/>
  <c r="II10" i="30"/>
  <c r="II11" i="30"/>
  <c r="II12" i="30"/>
  <c r="II13" i="30"/>
  <c r="II14" i="30"/>
  <c r="II15" i="30"/>
  <c r="II16" i="30"/>
  <c r="II17" i="30"/>
  <c r="II18" i="30"/>
  <c r="II19" i="30"/>
  <c r="II20" i="30"/>
  <c r="II21" i="30"/>
  <c r="II22" i="30"/>
  <c r="II23" i="30"/>
  <c r="II24" i="30"/>
  <c r="II25" i="30"/>
  <c r="II26" i="30"/>
  <c r="II27" i="30"/>
  <c r="II28" i="30"/>
  <c r="II29" i="30"/>
  <c r="II30" i="30"/>
  <c r="II31" i="30"/>
  <c r="II32" i="30"/>
  <c r="II33" i="30"/>
  <c r="II34" i="30"/>
  <c r="II35" i="30"/>
  <c r="II36" i="30"/>
  <c r="II37" i="30"/>
  <c r="II38" i="30"/>
  <c r="II39" i="30"/>
  <c r="II40" i="30"/>
  <c r="II41" i="30"/>
  <c r="II42" i="30"/>
  <c r="II43" i="30"/>
  <c r="II44" i="30"/>
  <c r="II45" i="30"/>
  <c r="II46" i="30"/>
  <c r="II47" i="30"/>
  <c r="II48" i="30"/>
  <c r="II49" i="30"/>
  <c r="II50" i="30"/>
  <c r="II51" i="30"/>
  <c r="II52" i="30"/>
  <c r="II53" i="30"/>
  <c r="II54" i="30"/>
  <c r="II55" i="30"/>
  <c r="II56" i="30"/>
  <c r="II57" i="30"/>
  <c r="II58" i="30"/>
  <c r="II59" i="30"/>
  <c r="II60" i="30"/>
  <c r="II61" i="30"/>
  <c r="II62" i="30"/>
  <c r="II63" i="30"/>
  <c r="II64" i="30"/>
  <c r="II65" i="30"/>
  <c r="II66" i="30"/>
  <c r="II67" i="30"/>
  <c r="II68" i="30"/>
  <c r="II69" i="30"/>
  <c r="II70" i="30"/>
  <c r="II71" i="30"/>
  <c r="II72" i="30"/>
  <c r="II73" i="30"/>
  <c r="II74" i="30"/>
  <c r="II75" i="30"/>
  <c r="II76" i="30"/>
  <c r="II77" i="30"/>
  <c r="II78" i="30"/>
  <c r="II79" i="30"/>
  <c r="II80" i="30"/>
  <c r="II81" i="30"/>
  <c r="II82" i="30"/>
  <c r="II83" i="30"/>
  <c r="II84" i="30"/>
  <c r="II85" i="30"/>
  <c r="II86" i="30"/>
  <c r="II87" i="30"/>
  <c r="II88" i="30"/>
  <c r="II89" i="30"/>
  <c r="II90" i="30"/>
  <c r="II91" i="30"/>
  <c r="II92" i="30"/>
  <c r="II93" i="30"/>
  <c r="II94" i="30"/>
  <c r="II95" i="30"/>
  <c r="IP8" i="30"/>
  <c r="IP9" i="30"/>
  <c r="IP10" i="30"/>
  <c r="IP11" i="30"/>
  <c r="IP12" i="30"/>
  <c r="IP13" i="30"/>
  <c r="IP14" i="30"/>
  <c r="IP15" i="30"/>
  <c r="IP16" i="30"/>
  <c r="IP17" i="30"/>
  <c r="IP18" i="30"/>
  <c r="IP19" i="30"/>
  <c r="IP20" i="30"/>
  <c r="IP21" i="30"/>
  <c r="IP22" i="30"/>
  <c r="IP23" i="30"/>
  <c r="IP24" i="30"/>
  <c r="IP25" i="30"/>
  <c r="IP26" i="30"/>
  <c r="IP27" i="30"/>
  <c r="IP28" i="30"/>
  <c r="IP29" i="30"/>
  <c r="IP30" i="30"/>
  <c r="IP31" i="30"/>
  <c r="IP32" i="30"/>
  <c r="IP33" i="30"/>
  <c r="IP34" i="30"/>
  <c r="IP35" i="30"/>
  <c r="IP36" i="30"/>
  <c r="IP37" i="30"/>
  <c r="IP38" i="30"/>
  <c r="IP39" i="30"/>
  <c r="IP40" i="30"/>
  <c r="IP41" i="30"/>
  <c r="IP42" i="30"/>
  <c r="IP43" i="30"/>
  <c r="IP44" i="30"/>
  <c r="IP45" i="30"/>
  <c r="IP46" i="30"/>
  <c r="IP47" i="30"/>
  <c r="IP48" i="30"/>
  <c r="IP49" i="30"/>
  <c r="IP50" i="30"/>
  <c r="IP51" i="30"/>
  <c r="IP52" i="30"/>
  <c r="IP53" i="30"/>
  <c r="IP54" i="30"/>
  <c r="IP55" i="30"/>
  <c r="IP56" i="30"/>
  <c r="IP57" i="30"/>
  <c r="IP58" i="30"/>
  <c r="IP59" i="30"/>
  <c r="IP60" i="30"/>
  <c r="IP61" i="30"/>
  <c r="IP62" i="30"/>
  <c r="IP63" i="30"/>
  <c r="IP64" i="30"/>
  <c r="IP65" i="30"/>
  <c r="IP66" i="30"/>
  <c r="IP67" i="30"/>
  <c r="IP68" i="30"/>
  <c r="IP69" i="30"/>
  <c r="IP70" i="30"/>
  <c r="IP71" i="30"/>
  <c r="IP72" i="30"/>
  <c r="IP73" i="30"/>
  <c r="IP74" i="30"/>
  <c r="IP75" i="30"/>
  <c r="IP76" i="30"/>
  <c r="IP77" i="30"/>
  <c r="IP78" i="30"/>
  <c r="IP79" i="30"/>
  <c r="IP80" i="30"/>
  <c r="IP81" i="30"/>
  <c r="IP82" i="30"/>
  <c r="IP83" i="30"/>
  <c r="IP84" i="30"/>
  <c r="IP85" i="30"/>
  <c r="IP86" i="30"/>
  <c r="IP87" i="30"/>
  <c r="IP88" i="30"/>
  <c r="IP89" i="30"/>
  <c r="IP90" i="30"/>
  <c r="IP91" i="30"/>
  <c r="IP92" i="30"/>
  <c r="IP93" i="30"/>
  <c r="IP94" i="30"/>
  <c r="IP95" i="30"/>
  <c r="IP96" i="30"/>
  <c r="IP97" i="30"/>
  <c r="IP98" i="30"/>
  <c r="IP99" i="30"/>
  <c r="IP100" i="30"/>
  <c r="IP101" i="30"/>
  <c r="IP102" i="30"/>
  <c r="IP103" i="30"/>
  <c r="IP104" i="30"/>
  <c r="IP105" i="30"/>
  <c r="IP106" i="30"/>
  <c r="IP107" i="30"/>
  <c r="IP108" i="30"/>
  <c r="IP109" i="30"/>
  <c r="IP110" i="30"/>
  <c r="IP111" i="30"/>
  <c r="IP112" i="30"/>
  <c r="IP113" i="30"/>
  <c r="IP114" i="30"/>
  <c r="IP115" i="30"/>
  <c r="IP116" i="30"/>
  <c r="IP117" i="30"/>
  <c r="IP118" i="30"/>
  <c r="IP119" i="30"/>
  <c r="IP120" i="30"/>
  <c r="IP121" i="30"/>
  <c r="IP122" i="30"/>
  <c r="IP123" i="30"/>
  <c r="IP124" i="30"/>
  <c r="IP125" i="30"/>
  <c r="IP126" i="30"/>
  <c r="IP127" i="30"/>
  <c r="IP128" i="30"/>
  <c r="IO8" i="30"/>
  <c r="IO9" i="30"/>
  <c r="IO10" i="30"/>
  <c r="IO11" i="30"/>
  <c r="IO12" i="30"/>
  <c r="IO13" i="30"/>
  <c r="IO14" i="30"/>
  <c r="IO15" i="30"/>
  <c r="IO16" i="30"/>
  <c r="IO17" i="30"/>
  <c r="IO18" i="30"/>
  <c r="IO19" i="30"/>
  <c r="IO20" i="30"/>
  <c r="IO21" i="30"/>
  <c r="IO22" i="30"/>
  <c r="IO23" i="30"/>
  <c r="IO24" i="30"/>
  <c r="IO25" i="30"/>
  <c r="IO26" i="30"/>
  <c r="IO27" i="30"/>
  <c r="IO28" i="30"/>
  <c r="IO29" i="30"/>
  <c r="IO30" i="30"/>
  <c r="IO31" i="30"/>
  <c r="IO32" i="30"/>
  <c r="IO33" i="30"/>
  <c r="IO34" i="30"/>
  <c r="IO35" i="30"/>
  <c r="IO36" i="30"/>
  <c r="IO37" i="30"/>
  <c r="IO38" i="30"/>
  <c r="IO39" i="30"/>
  <c r="IO40" i="30"/>
  <c r="IO41" i="30"/>
  <c r="IO42" i="30"/>
  <c r="IO43" i="30"/>
  <c r="IO44" i="30"/>
  <c r="IO45" i="30"/>
  <c r="IO46" i="30"/>
  <c r="IO47" i="30"/>
  <c r="IO48" i="30"/>
  <c r="IO49" i="30"/>
  <c r="IO50" i="30"/>
  <c r="IO51" i="30"/>
  <c r="IO52" i="30"/>
  <c r="IO53" i="30"/>
  <c r="IO54" i="30"/>
  <c r="IO55" i="30"/>
  <c r="IO56" i="30"/>
  <c r="IO57" i="30"/>
  <c r="IO58" i="30"/>
  <c r="IO59" i="30"/>
  <c r="IO60" i="30"/>
  <c r="IO61" i="30"/>
  <c r="IO62" i="30"/>
  <c r="IO63" i="30"/>
  <c r="IO64" i="30"/>
  <c r="IO65" i="30"/>
  <c r="IO66" i="30"/>
  <c r="IO67" i="30"/>
  <c r="IO68" i="30"/>
  <c r="IO69" i="30"/>
  <c r="IO70" i="30"/>
  <c r="IO71" i="30"/>
  <c r="IO72" i="30"/>
  <c r="IO73" i="30"/>
  <c r="IO74" i="30"/>
  <c r="IO75" i="30"/>
  <c r="IO76" i="30"/>
  <c r="IO77" i="30"/>
  <c r="IO78" i="30"/>
  <c r="IO79" i="30"/>
  <c r="IO80" i="30"/>
  <c r="IO81" i="30"/>
  <c r="IO82" i="30"/>
  <c r="IO83" i="30"/>
  <c r="IO84" i="30"/>
  <c r="IO85" i="30"/>
  <c r="IO86" i="30"/>
  <c r="IO87" i="30"/>
  <c r="IO88" i="30"/>
  <c r="IO89" i="30"/>
  <c r="IO90" i="30"/>
  <c r="IO91" i="30"/>
  <c r="IO92" i="30"/>
  <c r="IO93" i="30"/>
  <c r="IO94" i="30"/>
  <c r="IO95" i="30"/>
  <c r="IO96" i="30"/>
  <c r="IO97" i="30"/>
  <c r="IO98" i="30"/>
  <c r="IO99" i="30"/>
  <c r="IO100" i="30"/>
  <c r="IO101" i="30"/>
  <c r="IO102" i="30"/>
  <c r="IO103" i="30"/>
  <c r="IO104" i="30"/>
  <c r="IO105" i="30"/>
  <c r="IO106" i="30"/>
  <c r="IO107" i="30"/>
  <c r="IO108" i="30"/>
  <c r="IO109" i="30"/>
  <c r="IO110" i="30"/>
  <c r="IO111" i="30"/>
  <c r="IO112" i="30"/>
  <c r="IO113" i="30"/>
  <c r="IO114" i="30"/>
  <c r="IO115" i="30"/>
  <c r="IO116" i="30"/>
  <c r="IO117" i="30"/>
  <c r="IO118" i="30"/>
  <c r="IO119" i="30"/>
  <c r="IO120" i="30"/>
  <c r="IO121" i="30"/>
  <c r="IO122" i="30"/>
  <c r="IO123" i="30"/>
  <c r="IO124" i="30"/>
  <c r="IO125" i="30"/>
  <c r="IO126" i="30"/>
  <c r="IO127" i="30"/>
  <c r="IO128" i="30"/>
  <c r="IN8" i="30"/>
  <c r="IN9" i="30"/>
  <c r="IN10" i="30"/>
  <c r="IN11" i="30"/>
  <c r="IN12" i="30"/>
  <c r="IN13" i="30"/>
  <c r="IN14" i="30"/>
  <c r="IN15" i="30"/>
  <c r="IN16" i="30"/>
  <c r="IN17" i="30"/>
  <c r="IN18" i="30"/>
  <c r="IN19" i="30"/>
  <c r="IN20" i="30"/>
  <c r="IN21" i="30"/>
  <c r="IN22" i="30"/>
  <c r="IN23" i="30"/>
  <c r="IN24" i="30"/>
  <c r="IN25" i="30"/>
  <c r="IN26" i="30"/>
  <c r="IN27" i="30"/>
  <c r="IN28" i="30"/>
  <c r="IN29" i="30"/>
  <c r="IN30" i="30"/>
  <c r="IN31" i="30"/>
  <c r="IN32" i="30"/>
  <c r="IN33" i="30"/>
  <c r="IN34" i="30"/>
  <c r="IN35" i="30"/>
  <c r="IN36" i="30"/>
  <c r="IN37" i="30"/>
  <c r="IN38" i="30"/>
  <c r="IN39" i="30"/>
  <c r="IN40" i="30"/>
  <c r="IN41" i="30"/>
  <c r="IN42" i="30"/>
  <c r="IN43" i="30"/>
  <c r="IN44" i="30"/>
  <c r="IN45" i="30"/>
  <c r="IN46" i="30"/>
  <c r="IN47" i="30"/>
  <c r="IN48" i="30"/>
  <c r="IN49" i="30"/>
  <c r="IN50" i="30"/>
  <c r="IN51" i="30"/>
  <c r="IN52" i="30"/>
  <c r="IN53" i="30"/>
  <c r="IN54" i="30"/>
  <c r="IN55" i="30"/>
  <c r="IN56" i="30"/>
  <c r="IN57" i="30"/>
  <c r="IN58" i="30"/>
  <c r="IN59" i="30"/>
  <c r="IN60" i="30"/>
  <c r="IN61" i="30"/>
  <c r="IN62" i="30"/>
  <c r="IN63" i="30"/>
  <c r="IN64" i="30"/>
  <c r="IN65" i="30"/>
  <c r="IN66" i="30"/>
  <c r="IN67" i="30"/>
  <c r="IN68" i="30"/>
  <c r="IN69" i="30"/>
  <c r="IN70" i="30"/>
  <c r="IN71" i="30"/>
  <c r="IN72" i="30"/>
  <c r="IN73" i="30"/>
  <c r="IN74" i="30"/>
  <c r="IN76" i="30"/>
  <c r="IN77" i="30"/>
  <c r="IN78" i="30"/>
  <c r="IN81" i="30"/>
  <c r="IN82" i="30"/>
  <c r="IN83" i="30"/>
  <c r="IN84" i="30"/>
  <c r="IN85" i="30"/>
  <c r="IN86" i="30"/>
  <c r="IN88" i="30"/>
  <c r="IN89" i="30"/>
  <c r="IN90" i="30"/>
  <c r="IN91" i="30"/>
  <c r="IN92" i="30"/>
  <c r="IN93" i="30"/>
  <c r="IN94" i="30"/>
  <c r="IN95" i="30"/>
  <c r="IN96" i="30"/>
  <c r="IN97" i="30"/>
  <c r="IN98" i="30"/>
  <c r="IN99" i="30"/>
  <c r="IN100" i="30"/>
  <c r="IN101" i="30"/>
  <c r="IN102" i="30"/>
  <c r="IN103" i="30"/>
  <c r="IN104" i="30"/>
  <c r="IN105" i="30"/>
  <c r="IN106" i="30"/>
  <c r="IN108" i="30"/>
  <c r="IN109" i="30"/>
  <c r="IN110" i="30"/>
  <c r="IN111" i="30"/>
  <c r="IN112" i="30"/>
  <c r="IN113" i="30"/>
  <c r="IN114" i="30"/>
  <c r="IN115" i="30"/>
  <c r="IN116" i="30"/>
  <c r="IN117" i="30"/>
  <c r="IN118" i="30"/>
  <c r="IN119" i="30"/>
  <c r="IN120" i="30"/>
  <c r="IN121" i="30"/>
  <c r="IN122" i="30"/>
  <c r="IN123" i="30"/>
  <c r="IN124" i="30"/>
  <c r="IN125" i="30"/>
  <c r="IN126" i="30"/>
  <c r="IN127" i="30"/>
  <c r="IP7" i="30"/>
  <c r="IO7" i="30"/>
  <c r="IN7" i="30"/>
  <c r="ID129" i="30"/>
  <c r="IP129" i="30" l="1"/>
  <c r="AN129" i="30"/>
  <c r="H3" i="31" s="1"/>
  <c r="IO129" i="30"/>
  <c r="IQ129" i="30"/>
  <c r="IH128" i="30" l="1"/>
  <c r="IG128" i="30"/>
  <c r="IF128" i="30"/>
  <c r="IH127" i="30"/>
  <c r="IG127" i="30"/>
  <c r="IF127" i="30"/>
  <c r="IH126" i="30"/>
  <c r="IG126" i="30"/>
  <c r="IF126" i="30"/>
  <c r="IH125" i="30"/>
  <c r="IG125" i="30"/>
  <c r="IF125" i="30"/>
  <c r="IH124" i="30"/>
  <c r="IG124" i="30"/>
  <c r="IF124" i="30"/>
  <c r="IH123" i="30"/>
  <c r="IG123" i="30"/>
  <c r="IF123" i="30"/>
  <c r="IH122" i="30"/>
  <c r="IG122" i="30"/>
  <c r="IF122" i="30"/>
  <c r="IH121" i="30"/>
  <c r="IG121" i="30"/>
  <c r="IF121" i="30"/>
  <c r="IH120" i="30"/>
  <c r="IG120" i="30"/>
  <c r="IF120" i="30"/>
  <c r="IH119" i="30"/>
  <c r="IG119" i="30"/>
  <c r="IF119" i="30"/>
  <c r="IH118" i="30"/>
  <c r="IG118" i="30"/>
  <c r="IF118" i="30"/>
  <c r="IH117" i="30"/>
  <c r="IG117" i="30"/>
  <c r="IF117" i="30"/>
  <c r="IH116" i="30"/>
  <c r="IG116" i="30"/>
  <c r="IF116" i="30"/>
  <c r="IH115" i="30"/>
  <c r="IG115" i="30"/>
  <c r="IF115" i="30"/>
  <c r="IH114" i="30"/>
  <c r="IG114" i="30"/>
  <c r="IF114" i="30"/>
  <c r="IH113" i="30"/>
  <c r="IG113" i="30"/>
  <c r="IF113" i="30"/>
  <c r="IH112" i="30"/>
  <c r="IG112" i="30"/>
  <c r="IF112" i="30"/>
  <c r="IH111" i="30"/>
  <c r="IG111" i="30"/>
  <c r="IF111" i="30"/>
  <c r="IH110" i="30"/>
  <c r="IG110" i="30"/>
  <c r="IF110" i="30"/>
  <c r="IH109" i="30"/>
  <c r="IG109" i="30"/>
  <c r="IF109" i="30"/>
  <c r="IH108" i="30"/>
  <c r="IG108" i="30"/>
  <c r="IF108" i="30"/>
  <c r="IH107" i="30"/>
  <c r="IG107" i="30"/>
  <c r="IF107" i="30"/>
  <c r="EJ107" i="30"/>
  <c r="IN107" i="30" s="1"/>
  <c r="IH106" i="30"/>
  <c r="IG106" i="30"/>
  <c r="IF106" i="30"/>
  <c r="IH105" i="30"/>
  <c r="IG105" i="30"/>
  <c r="IF105" i="30"/>
  <c r="IH104" i="30"/>
  <c r="IG104" i="30"/>
  <c r="IF104" i="30"/>
  <c r="IH103" i="30"/>
  <c r="IG103" i="30"/>
  <c r="IF103" i="30"/>
  <c r="IH102" i="30"/>
  <c r="IG102" i="30"/>
  <c r="IF102" i="30"/>
  <c r="IH101" i="30"/>
  <c r="IG101" i="30"/>
  <c r="IF101" i="30"/>
  <c r="IH100" i="30"/>
  <c r="IG100" i="30"/>
  <c r="IF100" i="30"/>
  <c r="IH99" i="30"/>
  <c r="IG99" i="30"/>
  <c r="IF99" i="30"/>
  <c r="IH98" i="30"/>
  <c r="IG98" i="30"/>
  <c r="IF98" i="30"/>
  <c r="IH97" i="30"/>
  <c r="IG97" i="30"/>
  <c r="IF97" i="30"/>
  <c r="IH96" i="30"/>
  <c r="IG96" i="30"/>
  <c r="IF96" i="30"/>
  <c r="IH95" i="30" l="1"/>
  <c r="IG95" i="30"/>
  <c r="IF95" i="30"/>
  <c r="IH94" i="30"/>
  <c r="IG94" i="30"/>
  <c r="IF94" i="30"/>
  <c r="IH93" i="30"/>
  <c r="IG93" i="30"/>
  <c r="IF93" i="30"/>
  <c r="IH92" i="30"/>
  <c r="IG92" i="30"/>
  <c r="IF92" i="30"/>
  <c r="IH91" i="30"/>
  <c r="IG91" i="30"/>
  <c r="CG91" i="30"/>
  <c r="IF91" i="30" s="1"/>
  <c r="IH90" i="30"/>
  <c r="IG90" i="30"/>
  <c r="IF90" i="30"/>
  <c r="IH89" i="30"/>
  <c r="IG89" i="30"/>
  <c r="IF89" i="30"/>
  <c r="IH88" i="30"/>
  <c r="IG88" i="30"/>
  <c r="IF88" i="30"/>
  <c r="IH87" i="30"/>
  <c r="IG87" i="30"/>
  <c r="IF87" i="30"/>
  <c r="ES87" i="30"/>
  <c r="IN87" i="30" s="1"/>
  <c r="IH86" i="30"/>
  <c r="IG86" i="30"/>
  <c r="IF86" i="30"/>
  <c r="IH85" i="30"/>
  <c r="IG85" i="30"/>
  <c r="IF85" i="30"/>
  <c r="IH84" i="30"/>
  <c r="IG84" i="30"/>
  <c r="IF84" i="30"/>
  <c r="IH83" i="30"/>
  <c r="IG83" i="30"/>
  <c r="IF83" i="30"/>
  <c r="IH82" i="30"/>
  <c r="IG82" i="30"/>
  <c r="IF82" i="30"/>
  <c r="IH81" i="30"/>
  <c r="IG81" i="30"/>
  <c r="IF81" i="30"/>
  <c r="IH80" i="30"/>
  <c r="IG80" i="30"/>
  <c r="IF80" i="30"/>
  <c r="ES80" i="30"/>
  <c r="IN80" i="30" s="1"/>
  <c r="IH79" i="30"/>
  <c r="IG79" i="30"/>
  <c r="IF79" i="30"/>
  <c r="ES79" i="30"/>
  <c r="IN79" i="30" s="1"/>
  <c r="IH78" i="30"/>
  <c r="IG78" i="30"/>
  <c r="IF78" i="30"/>
  <c r="IH77" i="30"/>
  <c r="IG77" i="30"/>
  <c r="IF77" i="30"/>
  <c r="IH76" i="30"/>
  <c r="IG76" i="30"/>
  <c r="IF76" i="30"/>
  <c r="IH75" i="30"/>
  <c r="IG75" i="30"/>
  <c r="IF75" i="30"/>
  <c r="ES75" i="30"/>
  <c r="IN75" i="30" s="1"/>
  <c r="IH74" i="30"/>
  <c r="IG74" i="30"/>
  <c r="IF74" i="30"/>
  <c r="IH73" i="30"/>
  <c r="IG73" i="30"/>
  <c r="IF73" i="30"/>
  <c r="IH72" i="30"/>
  <c r="IG72" i="30"/>
  <c r="IF72" i="30"/>
  <c r="IH71" i="30"/>
  <c r="IG71" i="30"/>
  <c r="IF71" i="30"/>
  <c r="IH70" i="30"/>
  <c r="IG70" i="30"/>
  <c r="IF70" i="30"/>
  <c r="IH69" i="30"/>
  <c r="IG69" i="30"/>
  <c r="IF69" i="30"/>
  <c r="IN129" i="30" l="1"/>
  <c r="IH68" i="30"/>
  <c r="IG68" i="30"/>
  <c r="IF68" i="30"/>
  <c r="IH67" i="30"/>
  <c r="IG67" i="30"/>
  <c r="IF67" i="30"/>
  <c r="IH66" i="30"/>
  <c r="IG66" i="30"/>
  <c r="IF66" i="30"/>
  <c r="IH65" i="30"/>
  <c r="IG65" i="30"/>
  <c r="IF65" i="30"/>
  <c r="IH64" i="30"/>
  <c r="IG64" i="30"/>
  <c r="IF64" i="30"/>
  <c r="IH63" i="30"/>
  <c r="IG63" i="30"/>
  <c r="IF63" i="30"/>
  <c r="IH62" i="30"/>
  <c r="IG62" i="30"/>
  <c r="IF62" i="30"/>
  <c r="IH61" i="30"/>
  <c r="IG61" i="30"/>
  <c r="IF61" i="30"/>
  <c r="IH60" i="30"/>
  <c r="IG60" i="30"/>
  <c r="IF60" i="30"/>
  <c r="IH59" i="30"/>
  <c r="IG59" i="30"/>
  <c r="IF59" i="30"/>
  <c r="IH58" i="30"/>
  <c r="IG58" i="30"/>
  <c r="IF58" i="30"/>
  <c r="IH57" i="30"/>
  <c r="IG57" i="30"/>
  <c r="IF57" i="30"/>
  <c r="IH56" i="30"/>
  <c r="IG56" i="30"/>
  <c r="IF56" i="30"/>
  <c r="IH55" i="30"/>
  <c r="IG55" i="30"/>
  <c r="IF55" i="30"/>
  <c r="IH54" i="30"/>
  <c r="IG54" i="30"/>
  <c r="IF54" i="30"/>
  <c r="IH53" i="30"/>
  <c r="IG53" i="30"/>
  <c r="IF53" i="30"/>
  <c r="IH52" i="30"/>
  <c r="IG52" i="30"/>
  <c r="IF52" i="30"/>
  <c r="IH51" i="30"/>
  <c r="IG51" i="30"/>
  <c r="IF51" i="30"/>
  <c r="IH50" i="30"/>
  <c r="IG50" i="30"/>
  <c r="IF50" i="30"/>
  <c r="IH49" i="30"/>
  <c r="IG49" i="30"/>
  <c r="IF49" i="30"/>
  <c r="IH48" i="30"/>
  <c r="IG48" i="30"/>
  <c r="IF48" i="30"/>
  <c r="IH47" i="30"/>
  <c r="IG47" i="30"/>
  <c r="IF47" i="30"/>
  <c r="IH46" i="30"/>
  <c r="IG46" i="30"/>
  <c r="IF46" i="30"/>
  <c r="IH45" i="30"/>
  <c r="IG45" i="30"/>
  <c r="IF45" i="30"/>
  <c r="IH44" i="30"/>
  <c r="IG44" i="30"/>
  <c r="IF44" i="30"/>
  <c r="IH43" i="30"/>
  <c r="IG43" i="30"/>
  <c r="IF43" i="30"/>
  <c r="IH42" i="30"/>
  <c r="IG42" i="30"/>
  <c r="IF42" i="30"/>
  <c r="IH41" i="30"/>
  <c r="IG41" i="30"/>
  <c r="IF41" i="30"/>
  <c r="IH40" i="30"/>
  <c r="IG40" i="30"/>
  <c r="IF40" i="30"/>
  <c r="IH39" i="30"/>
  <c r="IG39" i="30"/>
  <c r="IF39" i="30"/>
  <c r="IH38" i="30"/>
  <c r="IG38" i="30"/>
  <c r="IF38" i="30"/>
  <c r="F129" i="30" l="1"/>
  <c r="IF7" i="30" l="1"/>
  <c r="GV129" i="30"/>
  <c r="IH8" i="30" l="1"/>
  <c r="IH9" i="30"/>
  <c r="IH10" i="30"/>
  <c r="IH11" i="30"/>
  <c r="IH12" i="30"/>
  <c r="IH13" i="30"/>
  <c r="IH14" i="30"/>
  <c r="IH15" i="30"/>
  <c r="IH16" i="30"/>
  <c r="IH17" i="30"/>
  <c r="IH18" i="30"/>
  <c r="IH19" i="30"/>
  <c r="IH20" i="30"/>
  <c r="IH21" i="30"/>
  <c r="IH22" i="30"/>
  <c r="IH23" i="30"/>
  <c r="IH24" i="30"/>
  <c r="IH25" i="30"/>
  <c r="IH26" i="30"/>
  <c r="IH27" i="30"/>
  <c r="IH28" i="30"/>
  <c r="IH29" i="30"/>
  <c r="IH30" i="30"/>
  <c r="IH31" i="30"/>
  <c r="IH32" i="30"/>
  <c r="IH33" i="30"/>
  <c r="IH34" i="30"/>
  <c r="IH35" i="30"/>
  <c r="IH36" i="30"/>
  <c r="IH37" i="30"/>
  <c r="IH7" i="30"/>
  <c r="IG7" i="30"/>
  <c r="II129" i="30"/>
  <c r="H129" i="30"/>
  <c r="I129" i="30"/>
  <c r="J129" i="30"/>
  <c r="V129" i="30"/>
  <c r="D3" i="31" s="1"/>
  <c r="W129" i="30"/>
  <c r="X129" i="30"/>
  <c r="Y129" i="30"/>
  <c r="AK129" i="30"/>
  <c r="G3" i="31" s="1"/>
  <c r="AZ129" i="30"/>
  <c r="J3" i="31" s="1"/>
  <c r="BA129" i="30"/>
  <c r="BB129" i="30"/>
  <c r="IF8" i="30"/>
  <c r="IF9" i="30"/>
  <c r="IF10" i="30"/>
  <c r="IF11" i="30"/>
  <c r="IF12" i="30"/>
  <c r="IF13" i="30"/>
  <c r="IF14" i="30"/>
  <c r="IF15" i="30"/>
  <c r="IF16" i="30"/>
  <c r="IF17" i="30"/>
  <c r="IF18" i="30"/>
  <c r="IF19" i="30"/>
  <c r="IF20" i="30"/>
  <c r="IF21" i="30"/>
  <c r="IF22" i="30"/>
  <c r="IF23" i="30"/>
  <c r="IF24" i="30"/>
  <c r="IF25" i="30"/>
  <c r="IF26" i="30"/>
  <c r="IF27" i="30"/>
  <c r="IF28" i="30"/>
  <c r="IF29" i="30"/>
  <c r="IF30" i="30"/>
  <c r="IF31" i="30"/>
  <c r="IF32" i="30"/>
  <c r="IF33" i="30"/>
  <c r="IF34" i="30"/>
  <c r="IF35" i="30"/>
  <c r="IF36" i="30"/>
  <c r="IF37" i="30"/>
  <c r="K3" i="31" l="1"/>
  <c r="B3" i="31"/>
  <c r="E3" i="31"/>
  <c r="IH129" i="30"/>
  <c r="IF129" i="30"/>
  <c r="IG37" i="30" l="1"/>
  <c r="IG36" i="30"/>
  <c r="IG35" i="30"/>
  <c r="IG34" i="30"/>
  <c r="G34" i="30"/>
  <c r="IG33" i="30"/>
  <c r="G33" i="30"/>
  <c r="IG32" i="30"/>
  <c r="IG31" i="30"/>
  <c r="IG30" i="30"/>
  <c r="IG29" i="30"/>
  <c r="G29" i="30"/>
  <c r="IG28" i="30"/>
  <c r="IG27" i="30"/>
  <c r="G27" i="30"/>
  <c r="IG26" i="30"/>
  <c r="G26" i="30"/>
  <c r="IG25" i="30"/>
  <c r="G25" i="30"/>
  <c r="IG24" i="30"/>
  <c r="G24" i="30"/>
  <c r="IG23" i="30"/>
  <c r="G23" i="30"/>
  <c r="IG22" i="30"/>
  <c r="G22" i="30"/>
  <c r="IG21" i="30"/>
  <c r="IG20" i="30"/>
  <c r="IG19" i="30"/>
  <c r="IG18" i="30"/>
  <c r="G18" i="30"/>
  <c r="IG17" i="30"/>
  <c r="G17" i="30"/>
  <c r="IG16" i="30"/>
  <c r="G16" i="30"/>
  <c r="IG15" i="30"/>
  <c r="G15" i="30"/>
  <c r="IG14" i="30"/>
  <c r="IG13" i="30"/>
  <c r="IG12" i="30"/>
  <c r="G12" i="30"/>
  <c r="IG11" i="30"/>
  <c r="IG10" i="30"/>
  <c r="G10" i="30"/>
  <c r="IG9" i="30"/>
  <c r="G9" i="30"/>
  <c r="IG8" i="30"/>
  <c r="G8" i="30"/>
  <c r="G129" i="30" l="1"/>
  <c r="A3" i="31" s="1"/>
  <c r="HX129" i="30"/>
  <c r="HW129" i="30"/>
  <c r="HO129" i="30"/>
  <c r="HN129" i="30"/>
  <c r="HF129" i="30"/>
  <c r="HE129" i="30"/>
  <c r="GW129" i="30"/>
  <c r="GN129" i="30"/>
  <c r="GM129" i="30"/>
  <c r="GE129" i="30"/>
  <c r="GD129" i="30"/>
  <c r="FV129" i="30"/>
  <c r="FU129" i="30"/>
  <c r="FN129" i="30"/>
  <c r="FM129" i="30"/>
  <c r="FE129" i="30"/>
  <c r="FD129" i="30"/>
  <c r="EV129" i="30"/>
  <c r="EU129" i="30"/>
  <c r="EM129" i="30"/>
  <c r="EL129" i="30"/>
  <c r="ED129" i="30"/>
  <c r="EC129" i="30"/>
  <c r="DU129" i="30"/>
  <c r="DT129" i="30"/>
  <c r="DS129" i="30"/>
  <c r="DM129" i="30"/>
  <c r="DL129" i="30"/>
  <c r="DC129" i="30"/>
  <c r="DB129" i="30"/>
  <c r="CT129" i="30"/>
  <c r="CJ129" i="30"/>
  <c r="CA129" i="30"/>
  <c r="BR129" i="30"/>
  <c r="CS129" i="30"/>
  <c r="CI129" i="30"/>
  <c r="BZ129" i="30"/>
  <c r="BQ129" i="30"/>
  <c r="E129" i="30" l="1"/>
  <c r="IG129" i="30" l="1"/>
  <c r="HV129" i="30"/>
  <c r="AZ3" i="31" s="1"/>
  <c r="HC129" i="30"/>
  <c r="AP3" i="31" s="1"/>
  <c r="HD129" i="30"/>
  <c r="AV3" i="31" s="1"/>
  <c r="HL129" i="30"/>
  <c r="AW3" i="31" s="1"/>
  <c r="HM129" i="30"/>
  <c r="AX3" i="31" s="1"/>
  <c r="HU129" i="30"/>
  <c r="GK129" i="30"/>
  <c r="AN3" i="31" s="1"/>
  <c r="GL129" i="30"/>
  <c r="AO3" i="31" s="1"/>
  <c r="GT129" i="30"/>
  <c r="GU129" i="30"/>
  <c r="AQ3" i="31" s="1"/>
  <c r="FT129" i="30"/>
  <c r="AT3" i="31" s="1"/>
  <c r="GB129" i="30"/>
  <c r="AL3" i="31" s="1"/>
  <c r="GC129" i="30"/>
  <c r="AM3" i="31" s="1"/>
  <c r="ES129" i="30"/>
  <c r="AJ3" i="31" s="1"/>
  <c r="ET129" i="30"/>
  <c r="AK3" i="31" s="1"/>
  <c r="FB129" i="30"/>
  <c r="AG3" i="31" s="1"/>
  <c r="FC129" i="30"/>
  <c r="AH3" i="31" s="1"/>
  <c r="FK129" i="30"/>
  <c r="AE3" i="31" s="1"/>
  <c r="FL129" i="30"/>
  <c r="AF3" i="31" s="1"/>
  <c r="EJ129" i="30"/>
  <c r="U3" i="31" s="1"/>
  <c r="EK129" i="30"/>
  <c r="EA129" i="30"/>
  <c r="W3" i="31" s="1"/>
  <c r="EB129" i="30"/>
  <c r="X3" i="31" s="1"/>
  <c r="CZ129" i="30"/>
  <c r="Z3" i="31" s="1"/>
  <c r="DA129" i="30"/>
  <c r="AA3" i="31" s="1"/>
  <c r="DI129" i="30"/>
  <c r="AB3" i="31" s="1"/>
  <c r="DJ129" i="30"/>
  <c r="AC3" i="31" s="1"/>
  <c r="DK129" i="30"/>
  <c r="AD3" i="31" s="1"/>
  <c r="CQ129" i="30"/>
  <c r="S3" i="31" s="1"/>
  <c r="CH129" i="30"/>
  <c r="Q3" i="31" s="1"/>
  <c r="BP129" i="30"/>
  <c r="BX129" i="30"/>
  <c r="N3" i="31" s="1"/>
  <c r="BY129" i="30"/>
  <c r="O3" i="31" s="1"/>
  <c r="CG129" i="30"/>
  <c r="P3" i="31" s="1"/>
  <c r="BO129" i="30"/>
  <c r="EO129" i="30" l="1"/>
  <c r="V3" i="31" s="1"/>
  <c r="IS73" i="30"/>
  <c r="IS78" i="30" l="1"/>
  <c r="IS129" i="30" s="1"/>
  <c r="CV129" i="30"/>
  <c r="T3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AN8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Personal:</t>
        </r>
        <r>
          <rPr>
            <sz val="9"/>
            <color indexed="81"/>
            <rFont val="Tahoma"/>
            <family val="2"/>
          </rPr>
          <t xml:space="preserve">
2 carbones que quedaron pendiente</t>
        </r>
      </text>
    </comment>
  </commentList>
</comments>
</file>

<file path=xl/sharedStrings.xml><?xml version="1.0" encoding="utf-8"?>
<sst xmlns="http://schemas.openxmlformats.org/spreadsheetml/2006/main" count="721" uniqueCount="229">
  <si>
    <t>PROYECTO DE RESTAURACIÓN ECOLÓGICA, REHABILITACIÓN Y RECUPERACIÓN DE ECOSISTEMAS DEGRADADOS</t>
  </si>
  <si>
    <t>HERRAMIENTA DE SEGUIMIENTO PROCESOS DE IMPLEMETACIÓN</t>
  </si>
  <si>
    <t>Indicadores de avances de implementaciones</t>
  </si>
  <si>
    <t>Código Predio</t>
  </si>
  <si>
    <t>Famila</t>
  </si>
  <si>
    <t>Municipio</t>
  </si>
  <si>
    <t>Vereda</t>
  </si>
  <si>
    <t>Hectáreas del predio</t>
  </si>
  <si>
    <t>Colinos (piña y plátano)</t>
  </si>
  <si>
    <t>Cacao</t>
  </si>
  <si>
    <t>Forestales (viveros comunitarios)</t>
  </si>
  <si>
    <t>Frutales</t>
  </si>
  <si>
    <t xml:space="preserve">1. No. Nacimientos a aislar </t>
  </si>
  <si>
    <t>Observaciones</t>
  </si>
  <si>
    <t>2. Área de nacimiento aislar (ha)</t>
  </si>
  <si>
    <t>3. Área de fuente hídrica a aislar (ha)</t>
  </si>
  <si>
    <t>4. Sistemas silvopastoriles (Ha)</t>
  </si>
  <si>
    <t>5.  Cercas vivas (metros)</t>
  </si>
  <si>
    <t>Observación</t>
  </si>
  <si>
    <t>6. División de Potrero (Número Potreros)</t>
  </si>
  <si>
    <t>7.  # Potreros con Árboles Dispersos</t>
  </si>
  <si>
    <t>8. Enriquecimiento de SAF (ha)</t>
  </si>
  <si>
    <t>9. Implementación de SAF (ha)</t>
  </si>
  <si>
    <t>10. Corredor de Conectividad (ha)</t>
  </si>
  <si>
    <t>11. Adecuación de Biodigestor</t>
  </si>
  <si>
    <t>12. Acueducto Ganadero (Metros)</t>
  </si>
  <si>
    <t>13. Abejas (# Colmenas)</t>
  </si>
  <si>
    <t>14. Enriquecimiento Rastrojo (Ha)</t>
  </si>
  <si>
    <t>15. Enriquecimiento de Bosque (ha)</t>
  </si>
  <si>
    <t>16. Restauración de área degradada</t>
  </si>
  <si>
    <t xml:space="preserve">17. # Huertas sin cubierta </t>
  </si>
  <si>
    <t xml:space="preserve">18. # Huerta bajo cubierta </t>
  </si>
  <si>
    <t>19. # Gallinas Criollas</t>
  </si>
  <si>
    <t>20. Estufas Ecologicas</t>
  </si>
  <si>
    <t>21. Acumulado en restauración Ecológica</t>
  </si>
  <si>
    <t>22. Acumulado en rehabilitación Ecológica</t>
  </si>
  <si>
    <t>23. Cumplimiento Acuerdo de Conservación</t>
  </si>
  <si>
    <t>Barrera viva establecida control de la erosión (m)</t>
  </si>
  <si>
    <t>Meta</t>
  </si>
  <si>
    <t>Entregados T2</t>
  </si>
  <si>
    <t>Entregados T3</t>
  </si>
  <si>
    <t>Entregados T4</t>
  </si>
  <si>
    <t>Entregados T1_2025</t>
  </si>
  <si>
    <t>Entregados T2_2025</t>
  </si>
  <si>
    <t>Entregados T3_2025</t>
  </si>
  <si>
    <t>Entregados T4_2025</t>
  </si>
  <si>
    <t>Sembrados T2</t>
  </si>
  <si>
    <t>Sembrados T3</t>
  </si>
  <si>
    <t>Sembrados T4</t>
  </si>
  <si>
    <t>Sembrado T1_2025</t>
  </si>
  <si>
    <t>Sembrado T2_2025</t>
  </si>
  <si>
    <t>Sembrado T3_2025</t>
  </si>
  <si>
    <t>Sembrado T4_2025</t>
  </si>
  <si>
    <t xml:space="preserve">Meta </t>
  </si>
  <si>
    <t>Avance T2</t>
  </si>
  <si>
    <t>Avance T3</t>
  </si>
  <si>
    <t>Avance T1_2025</t>
  </si>
  <si>
    <t>Avance T2_2025</t>
  </si>
  <si>
    <t>Avance T3_2025</t>
  </si>
  <si>
    <t>Avance T4_2025</t>
  </si>
  <si>
    <t>Avance T4</t>
  </si>
  <si>
    <t>Avance_T1_2025</t>
  </si>
  <si>
    <t># Potreros Iniciales</t>
  </si>
  <si>
    <t>Meta # Potreros</t>
  </si>
  <si>
    <t>% de cumplimiento</t>
  </si>
  <si>
    <t>Hernán Manuel Castrillo Moscote</t>
  </si>
  <si>
    <t>Dibulla</t>
  </si>
  <si>
    <t>Caney (Comunidad De Santa Rita De La Sierra )</t>
  </si>
  <si>
    <t>Rebeca Hesther Rolón Sierra</t>
  </si>
  <si>
    <t>Cristo Humberto Guarín Rincón</t>
  </si>
  <si>
    <t>Wilson Guarín Pérez</t>
  </si>
  <si>
    <t>Jorge Elías Fornieles Navarro</t>
  </si>
  <si>
    <t>Nuri Contreras Baldovino</t>
  </si>
  <si>
    <t>Comunidad de Santa Rita</t>
  </si>
  <si>
    <t>Pastora María Cantillo Vergel</t>
  </si>
  <si>
    <t>Larga La Vida</t>
  </si>
  <si>
    <t>Carlos Antonio Cantillo Romero</t>
  </si>
  <si>
    <t>Edwin Elías Nieves Mendoza</t>
  </si>
  <si>
    <t>Lilibeth Nieves Mendoza</t>
  </si>
  <si>
    <t>José Francisco López Gómez</t>
  </si>
  <si>
    <t>Fanio Manuel Castillo Yépez</t>
  </si>
  <si>
    <t>Dager Castillo Yépez</t>
  </si>
  <si>
    <t>Mauricio Pérez</t>
  </si>
  <si>
    <t>Aura Esther Miranda Herrera</t>
  </si>
  <si>
    <t>Melquiades Mendoza Madero</t>
  </si>
  <si>
    <t>Walter Antonio Hernández Fernández</t>
  </si>
  <si>
    <t>Manuel Villareal Guevara</t>
  </si>
  <si>
    <t>Jairo Fernández Conde</t>
  </si>
  <si>
    <t>Fani Leonor Gutiérrez Manjarrez</t>
  </si>
  <si>
    <t>Matilde Durango Fernández</t>
  </si>
  <si>
    <t xml:space="preserve">Yelene Rosio Serrano Ortiz </t>
  </si>
  <si>
    <t>Esteban David Brito López</t>
  </si>
  <si>
    <t xml:space="preserve">Aramendi De Jesús Móvil Montero </t>
  </si>
  <si>
    <t>Deisi Movil Montero</t>
  </si>
  <si>
    <t>Wilmer Yeimeser Quinto Miranda</t>
  </si>
  <si>
    <t>Oscar Emilio Barros Peñaloza</t>
  </si>
  <si>
    <t>Esther María Valiente Meriño</t>
  </si>
  <si>
    <t>Adalfredo Serrano Zapata</t>
  </si>
  <si>
    <t>Jairo Navarro Ramírez</t>
  </si>
  <si>
    <t>William Rafael Cotes Cúrvelo</t>
  </si>
  <si>
    <t>Álvaro Zambrano Gutiérrez</t>
  </si>
  <si>
    <t>El Doncello</t>
  </si>
  <si>
    <t>Birmania</t>
  </si>
  <si>
    <t>Leandro Cantillo Gutiérrez</t>
  </si>
  <si>
    <t>Nidia Vanegas Trujillo</t>
  </si>
  <si>
    <t>Rosalba Ortiz</t>
  </si>
  <si>
    <t>Antonio Londoño</t>
  </si>
  <si>
    <t>Aparicio Franco</t>
  </si>
  <si>
    <t>Gilberto Andrés Arango Arias</t>
  </si>
  <si>
    <t>Guillermo Parra</t>
  </si>
  <si>
    <t>Jose Duvier Pareja</t>
  </si>
  <si>
    <t>La Granada</t>
  </si>
  <si>
    <t>Wilfredo Horta López</t>
  </si>
  <si>
    <t>Eliderman Carvajal</t>
  </si>
  <si>
    <t>Andrés Rodríguez</t>
  </si>
  <si>
    <t>La Ceiba</t>
  </si>
  <si>
    <t xml:space="preserve">Carlos Julio Angulo </t>
  </si>
  <si>
    <t>Misael Valdés</t>
  </si>
  <si>
    <t>José Omar Orozco Valencia</t>
  </si>
  <si>
    <t>Luis Chindicue Moreno</t>
  </si>
  <si>
    <t>Yeimy Gutiérrez Hernández</t>
  </si>
  <si>
    <t>Narciso Aley Aley</t>
  </si>
  <si>
    <t>Juan Gabriel Hoyos</t>
  </si>
  <si>
    <t>Blanca Lilia Carvajal</t>
  </si>
  <si>
    <t>Pedro Pablo Hoyos</t>
  </si>
  <si>
    <t>Juan Carlos Robledo</t>
  </si>
  <si>
    <t>Wilmer Moreno</t>
  </si>
  <si>
    <t>Álvaro Moreno Caranton</t>
  </si>
  <si>
    <t>Claudia Jimena Sierra Arias</t>
  </si>
  <si>
    <t xml:space="preserve">Jesús Antonio Puente </t>
  </si>
  <si>
    <t>San José</t>
  </si>
  <si>
    <t>Raúl Espinosa</t>
  </si>
  <si>
    <t>Milton Javier Sosa Hurtado</t>
  </si>
  <si>
    <t>Yury Jaramillo Cortes</t>
  </si>
  <si>
    <t>Marley Yureidy Ayas Gutiérrez</t>
  </si>
  <si>
    <t>Rufino Chindicue</t>
  </si>
  <si>
    <t>Gelber Andrés Villaquira</t>
  </si>
  <si>
    <t>Florencia</t>
  </si>
  <si>
    <t>Alto Reflejo</t>
  </si>
  <si>
    <t>Aquilino García Yucuma</t>
  </si>
  <si>
    <t>Eduviges Hoyos Canacue</t>
  </si>
  <si>
    <t>Santana</t>
  </si>
  <si>
    <t>Wilson Ramírez</t>
  </si>
  <si>
    <t>José Rosendo Bermeo</t>
  </si>
  <si>
    <t>El Chontaduro</t>
  </si>
  <si>
    <t>William Valencia</t>
  </si>
  <si>
    <t>Jorge Humberto Ule</t>
  </si>
  <si>
    <t>Emilson Sánchez</t>
  </si>
  <si>
    <t>Yhon Eider Ramón Marín</t>
  </si>
  <si>
    <t>Salomón Ramón Rodríguez</t>
  </si>
  <si>
    <t>Marvi Yuledi Galvin Manquillo</t>
  </si>
  <si>
    <t>Luis Humberto Urrutia Mejía</t>
  </si>
  <si>
    <t>Emilso Ramón Marín</t>
  </si>
  <si>
    <t>Alfredo Valencia Salazar</t>
  </si>
  <si>
    <t>Helmer Cubillos</t>
  </si>
  <si>
    <t>Maricela Cruz Aguilar</t>
  </si>
  <si>
    <t>José Lizardo Parra Bocanegra</t>
  </si>
  <si>
    <t>María Elena Bocanegra de Cortez</t>
  </si>
  <si>
    <t>Las Hermosas</t>
  </si>
  <si>
    <t>Ruth Muñoz Ortiz</t>
  </si>
  <si>
    <t>Jairo Rivera Collazos</t>
  </si>
  <si>
    <t>Yehison Rivera Vázquez</t>
  </si>
  <si>
    <t>José Libardo Rivera Delgado</t>
  </si>
  <si>
    <t>Roberto Cruz Aguilar</t>
  </si>
  <si>
    <t>Yosman Stiven Rivera Vázquez</t>
  </si>
  <si>
    <t>Herminio Moreno Vaquiro</t>
  </si>
  <si>
    <t>Siembra de 35 plantas</t>
  </si>
  <si>
    <t>Cruz Ortigoza Mata</t>
  </si>
  <si>
    <t>Aldemar Manrique Arbelades</t>
  </si>
  <si>
    <t>Marino Anacona</t>
  </si>
  <si>
    <t>La Montañita</t>
  </si>
  <si>
    <t>El Cedro</t>
  </si>
  <si>
    <t>Heliberto Gómez Galvis</t>
  </si>
  <si>
    <t>Agua Bonita 1</t>
  </si>
  <si>
    <t>Dennis Andrea Quintero Tovar</t>
  </si>
  <si>
    <t>Graciela Ortiz Perdomo</t>
  </si>
  <si>
    <t>Romel Duván Ríos Serna</t>
  </si>
  <si>
    <t>Justo Rodríguez Solórzano</t>
  </si>
  <si>
    <t>María del Carmen Arismendi Díaz</t>
  </si>
  <si>
    <t>Cedrito</t>
  </si>
  <si>
    <t>Reinaldo Medina Bermeo</t>
  </si>
  <si>
    <t>Miguel Antonio Vega</t>
  </si>
  <si>
    <t>Roberto Vega Vega</t>
  </si>
  <si>
    <t>Nelson Fonseca Pulido</t>
  </si>
  <si>
    <t>Bibiana Rivera Cuellar</t>
  </si>
  <si>
    <t>Sergio Armando Cardona Rivera</t>
  </si>
  <si>
    <t>Ángel Davian Ramos Sarrias</t>
  </si>
  <si>
    <t>Ferney Sierra Ospina</t>
  </si>
  <si>
    <t>Mercedes García de Mora</t>
  </si>
  <si>
    <t>Brayan Stiven Adaime Lozada</t>
  </si>
  <si>
    <t>Delfi Lozada Murcia</t>
  </si>
  <si>
    <t>Albeiro Silva Cediel</t>
  </si>
  <si>
    <t>Cedro</t>
  </si>
  <si>
    <t>Norma Constanza Rodríguez Burgos</t>
  </si>
  <si>
    <t>Alfredo Leiva</t>
  </si>
  <si>
    <t>Esteban Rojas</t>
  </si>
  <si>
    <t>Las Juntas</t>
  </si>
  <si>
    <t>Yesid Olaya Murcia</t>
  </si>
  <si>
    <t xml:space="preserve">Luz Nailer  Cancencio Aldana </t>
  </si>
  <si>
    <t>Arnulfo Prada</t>
  </si>
  <si>
    <t xml:space="preserve">Dila María  Barrios López </t>
  </si>
  <si>
    <t>Yeison Gonzalez Herrera</t>
  </si>
  <si>
    <t xml:space="preserve">Farid Cardozo </t>
  </si>
  <si>
    <t>Lucila Martínez Nieto</t>
  </si>
  <si>
    <t>Luis Alfredo Sierra Ospina</t>
  </si>
  <si>
    <t xml:space="preserve">Abelardo Ortiz Ramírez </t>
  </si>
  <si>
    <t>Luis Eduardo Ramírez</t>
  </si>
  <si>
    <t>Joaquin Rojas</t>
  </si>
  <si>
    <t>Árboles de Cacao</t>
  </si>
  <si>
    <t>Área de nacimiento aislar (ha)</t>
  </si>
  <si>
    <t>Área de fuente hídrica a aislar</t>
  </si>
  <si>
    <t>Sistemas silvopastoriles</t>
  </si>
  <si>
    <t>Implementación de SAF</t>
  </si>
  <si>
    <t xml:space="preserve">Enriquecimiento de SAF </t>
  </si>
  <si>
    <t>Cercas vivas (metros)</t>
  </si>
  <si>
    <t>División de Potrero (# Potreros)</t>
  </si>
  <si>
    <t>Acueducto Ganadero (Metros)</t>
  </si>
  <si>
    <t>Adecuación de Biodigestor</t>
  </si>
  <si>
    <t>Corredor de Conectividad</t>
  </si>
  <si>
    <t xml:space="preserve">Enriquecimiento Rastrojo </t>
  </si>
  <si>
    <t xml:space="preserve">Enriquecimiento de Bosque </t>
  </si>
  <si>
    <t>Restauración de área degradada</t>
  </si>
  <si>
    <t>Colmenas</t>
  </si>
  <si>
    <t xml:space="preserve">Huertas sin cubierta </t>
  </si>
  <si>
    <t xml:space="preserve">Huerta bajo cubierta </t>
  </si>
  <si>
    <t>Fortalecimiento Gallinas Criollas</t>
  </si>
  <si>
    <t>Entregados</t>
  </si>
  <si>
    <t>Sembrados</t>
  </si>
  <si>
    <t>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</si>
</sst>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\ * #,##0_-;\-&quot;$&quot;\ * #,##0_-;_-&quot;$&quot;\ * &quot;-&quot;_-;_-@_-"/>
    <numFmt numFmtId="166" formatCode="#,##0.0"/>
  </numFmts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mbria"/>
      <family val="2"/>
      <scheme val="maj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90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</cellStyleXfs>
  <cellXfs count="14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/>
    <xf numFmtId="0" fontId="8" fillId="2" borderId="0" xfId="0" applyFont="1" applyFill="1"/>
    <xf numFmtId="0" fontId="8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3" fillId="2" borderId="0" xfId="904" applyFill="1"/>
    <xf numFmtId="0" fontId="12" fillId="2" borderId="0" xfId="904" applyFont="1" applyFill="1"/>
    <xf numFmtId="0" fontId="6" fillId="2" borderId="0" xfId="904" applyFont="1" applyFill="1"/>
    <xf numFmtId="0" fontId="7" fillId="4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14" xfId="0" applyBorder="1"/>
    <xf numFmtId="0" fontId="7" fillId="2" borderId="0" xfId="0" applyFont="1" applyFill="1"/>
    <xf numFmtId="0" fontId="7" fillId="0" borderId="0" xfId="0" applyFont="1"/>
    <xf numFmtId="0" fontId="6" fillId="2" borderId="0" xfId="0" applyFont="1" applyFill="1"/>
    <xf numFmtId="0" fontId="6" fillId="0" borderId="0" xfId="0" applyFont="1"/>
    <xf numFmtId="4" fontId="11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4" fontId="15" fillId="2" borderId="0" xfId="0" applyNumberFormat="1" applyFont="1" applyFill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8" fillId="0" borderId="0" xfId="0" applyFont="1"/>
    <xf numFmtId="3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15" fillId="6" borderId="1" xfId="0" applyFont="1" applyFill="1" applyBorder="1" applyAlignment="1">
      <alignment horizontal="center"/>
    </xf>
    <xf numFmtId="3" fontId="15" fillId="6" borderId="4" xfId="0" applyNumberFormat="1" applyFont="1" applyFill="1" applyBorder="1" applyAlignment="1">
      <alignment horizontal="center"/>
    </xf>
    <xf numFmtId="3" fontId="15" fillId="6" borderId="1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/>
    </xf>
    <xf numFmtId="9" fontId="15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2" borderId="1" xfId="0" applyFont="1" applyFill="1" applyBorder="1"/>
    <xf numFmtId="3" fontId="15" fillId="2" borderId="4" xfId="0" applyNumberFormat="1" applyFont="1" applyFill="1" applyBorder="1" applyAlignment="1">
      <alignment horizont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9" fontId="15" fillId="2" borderId="4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/>
    </xf>
    <xf numFmtId="0" fontId="0" fillId="6" borderId="0" xfId="0" applyFill="1"/>
    <xf numFmtId="0" fontId="8" fillId="6" borderId="6" xfId="0" applyFont="1" applyFill="1" applyBorder="1"/>
    <xf numFmtId="0" fontId="15" fillId="2" borderId="1" xfId="0" applyFont="1" applyFill="1" applyBorder="1" applyAlignment="1">
      <alignment horizontal="left"/>
    </xf>
    <xf numFmtId="0" fontId="8" fillId="2" borderId="4" xfId="0" applyFont="1" applyFill="1" applyBorder="1"/>
    <xf numFmtId="3" fontId="8" fillId="2" borderId="1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/>
    </xf>
    <xf numFmtId="3" fontId="15" fillId="2" borderId="1" xfId="0" applyNumberFormat="1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4" fontId="11" fillId="2" borderId="0" xfId="0" applyNumberFormat="1" applyFont="1" applyFill="1" applyAlignment="1">
      <alignment horizontal="left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15" fillId="8" borderId="1" xfId="0" applyFont="1" applyFill="1" applyBorder="1" applyAlignment="1">
      <alignment horizontal="center"/>
    </xf>
    <xf numFmtId="3" fontId="15" fillId="8" borderId="1" xfId="0" applyNumberFormat="1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/>
    </xf>
    <xf numFmtId="0" fontId="15" fillId="8" borderId="4" xfId="0" applyFont="1" applyFill="1" applyBorder="1" applyAlignment="1">
      <alignment horizontal="center"/>
    </xf>
    <xf numFmtId="3" fontId="15" fillId="8" borderId="4" xfId="0" applyNumberFormat="1" applyFont="1" applyFill="1" applyBorder="1" applyAlignment="1">
      <alignment horizontal="center"/>
    </xf>
    <xf numFmtId="9" fontId="15" fillId="8" borderId="4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3" fontId="15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/>
    </xf>
    <xf numFmtId="166" fontId="15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/>
    <xf numFmtId="166" fontId="15" fillId="8" borderId="1" xfId="0" applyNumberFormat="1" applyFont="1" applyFill="1" applyBorder="1" applyAlignment="1">
      <alignment horizontal="center"/>
    </xf>
    <xf numFmtId="0" fontId="15" fillId="8" borderId="1" xfId="0" applyFont="1" applyFill="1" applyBorder="1"/>
    <xf numFmtId="3" fontId="8" fillId="2" borderId="0" xfId="0" applyNumberFormat="1" applyFont="1" applyFill="1"/>
    <xf numFmtId="4" fontId="15" fillId="2" borderId="1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/>
    </xf>
    <xf numFmtId="4" fontId="8" fillId="2" borderId="0" xfId="0" applyNumberFormat="1" applyFont="1" applyFill="1"/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4" fontId="15" fillId="2" borderId="4" xfId="0" applyNumberFormat="1" applyFont="1" applyFill="1" applyBorder="1" applyAlignment="1">
      <alignment horizontal="center"/>
    </xf>
    <xf numFmtId="3" fontId="15" fillId="0" borderId="4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0" fontId="15" fillId="0" borderId="0" xfId="0" applyFont="1"/>
    <xf numFmtId="0" fontId="8" fillId="0" borderId="0" xfId="0" applyFont="1"/>
    <xf numFmtId="0" fontId="7" fillId="4" borderId="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8" fillId="7" borderId="1" xfId="0" applyFont="1" applyFill="1" applyBorder="1"/>
    <xf numFmtId="3" fontId="0" fillId="0" borderId="0" xfId="0" applyNumberFormat="1"/>
    <xf numFmtId="0" fontId="7" fillId="4" borderId="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3" fillId="2" borderId="0" xfId="904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905">
    <cellStyle name="Hipervínculo" xfId="296" builtinId="8" hidden="1"/>
    <cellStyle name="Hipervínculo" xfId="588" builtinId="8" hidden="1"/>
    <cellStyle name="Hipervínculo" xfId="400" builtinId="8" hidden="1"/>
    <cellStyle name="Hipervínculo" xfId="116" builtinId="8" hidden="1"/>
    <cellStyle name="Hipervínculo" xfId="768" builtinId="8" hidden="1"/>
    <cellStyle name="Hipervínculo" xfId="174" builtinId="8" hidden="1"/>
    <cellStyle name="Hipervínculo" xfId="740" builtinId="8" hidden="1"/>
    <cellStyle name="Hipervínculo" xfId="666" builtinId="8" hidden="1"/>
    <cellStyle name="Hipervínculo" xfId="816" builtinId="8" hidden="1"/>
    <cellStyle name="Hipervínculo" xfId="892" builtinId="8" hidden="1"/>
    <cellStyle name="Hipervínculo" xfId="838" builtinId="8" hidden="1"/>
    <cellStyle name="Hipervínculo" xfId="540" builtinId="8" hidden="1"/>
    <cellStyle name="Hipervínculo" xfId="20" builtinId="8" hidden="1"/>
    <cellStyle name="Hipervínculo" xfId="656" builtinId="8" hidden="1"/>
    <cellStyle name="Hipervínculo" xfId="148" builtinId="8" hidden="1"/>
    <cellStyle name="Hipervínculo" xfId="778" builtinId="8" hidden="1"/>
    <cellStyle name="Hipervínculo" xfId="14" builtinId="8" hidden="1"/>
    <cellStyle name="Hipervínculo" xfId="568" builtinId="8" hidden="1"/>
    <cellStyle name="Hipervínculo" xfId="888" builtinId="8" hidden="1"/>
    <cellStyle name="Hipervínculo" xfId="168" builtinId="8" hidden="1"/>
    <cellStyle name="Hipervínculo" xfId="224" builtinId="8" hidden="1"/>
    <cellStyle name="Hipervínculo" xfId="798" builtinId="8" hidden="1"/>
    <cellStyle name="Hipervínculo" xfId="856" builtinId="8" hidden="1"/>
    <cellStyle name="Hipervínculo" xfId="812" builtinId="8" hidden="1"/>
    <cellStyle name="Hipervínculo" xfId="370" builtinId="8" hidden="1"/>
    <cellStyle name="Hipervínculo" xfId="50" builtinId="8" hidden="1"/>
    <cellStyle name="Hipervínculo" xfId="538" builtinId="8" hidden="1"/>
    <cellStyle name="Hipervínculo" xfId="38" builtinId="8" hidden="1"/>
    <cellStyle name="Hipervínculo" xfId="194" builtinId="8" hidden="1"/>
    <cellStyle name="Hipervínculo" xfId="26" builtinId="8" hidden="1"/>
    <cellStyle name="Hipervínculo" xfId="32" builtinId="8" hidden="1"/>
    <cellStyle name="Hipervínculo" xfId="508" builtinId="8" hidden="1"/>
    <cellStyle name="Hipervínculo" xfId="368" builtinId="8" hidden="1"/>
    <cellStyle name="Hipervínculo" xfId="754" builtinId="8" hidden="1"/>
    <cellStyle name="Hipervínculo" xfId="748" builtinId="8" hidden="1"/>
    <cellStyle name="Hipervínculo" xfId="304" builtinId="8" hidden="1"/>
    <cellStyle name="Hipervínculo" xfId="694" builtinId="8" hidden="1"/>
    <cellStyle name="Hipervínculo" xfId="554" builtinId="8" hidden="1"/>
    <cellStyle name="Hipervínculo" xfId="882" builtinId="8" hidden="1"/>
    <cellStyle name="Hipervínculo" xfId="504" builtinId="8" hidden="1"/>
    <cellStyle name="Hipervínculo" xfId="178" builtinId="8" hidden="1"/>
    <cellStyle name="Hipervínculo" xfId="314" builtinId="8" hidden="1"/>
    <cellStyle name="Hipervínculo" xfId="886" builtinId="8" hidden="1"/>
    <cellStyle name="Hipervínculo" xfId="484" builtinId="8" hidden="1"/>
    <cellStyle name="Hipervínculo" xfId="356" builtinId="8" hidden="1"/>
    <cellStyle name="Hipervínculo" xfId="104" builtinId="8" hidden="1"/>
    <cellStyle name="Hipervínculo" xfId="854" builtinId="8" hidden="1"/>
    <cellStyle name="Hipervínculo" xfId="348" builtinId="8" hidden="1"/>
    <cellStyle name="Hipervínculo" xfId="840" builtinId="8" hidden="1"/>
    <cellStyle name="Hipervínculo" xfId="110" builtinId="8" hidden="1"/>
    <cellStyle name="Hipervínculo" xfId="808" builtinId="8" hidden="1"/>
    <cellStyle name="Hipervínculo" xfId="64" builtinId="8" hidden="1"/>
    <cellStyle name="Hipervínculo" xfId="288" builtinId="8" hidden="1"/>
    <cellStyle name="Hipervínculo" xfId="144" builtinId="8" hidden="1"/>
    <cellStyle name="Hipervínculo" xfId="654" builtinId="8" hidden="1"/>
    <cellStyle name="Hipervínculo" xfId="276" builtinId="8" hidden="1"/>
    <cellStyle name="Hipervínculo" xfId="492" builtinId="8" hidden="1"/>
    <cellStyle name="Hipervínculo" xfId="382" builtinId="8" hidden="1"/>
    <cellStyle name="Hipervínculo" xfId="596" builtinId="8" hidden="1"/>
    <cellStyle name="Hipervínculo" xfId="412" builtinId="8" hidden="1"/>
    <cellStyle name="Hipervínculo" xfId="514" builtinId="8" hidden="1"/>
    <cellStyle name="Hipervínculo" xfId="152" builtinId="8" hidden="1"/>
    <cellStyle name="Hipervínculo" xfId="126" builtinId="8" hidden="1"/>
    <cellStyle name="Hipervínculo" xfId="316" builtinId="8" hidden="1"/>
    <cellStyle name="Hipervínculo" xfId="722" builtinId="8" hidden="1"/>
    <cellStyle name="Hipervínculo" xfId="338" builtinId="8" hidden="1"/>
    <cellStyle name="Hipervínculo" xfId="230" builtinId="8" hidden="1"/>
    <cellStyle name="Hipervínculo" xfId="890" builtinId="8" hidden="1"/>
    <cellStyle name="Hipervínculo" xfId="204" builtinId="8" hidden="1"/>
    <cellStyle name="Hipervínculo" xfId="3" builtinId="8" hidden="1"/>
    <cellStyle name="Hipervínculo" xfId="622" builtinId="8" hidden="1"/>
    <cellStyle name="Hipervínculo" xfId="452" builtinId="8" hidden="1"/>
    <cellStyle name="Hipervínculo" xfId="206" builtinId="8" hidden="1"/>
    <cellStyle name="Hipervínculo" xfId="836" builtinId="8" hidden="1"/>
    <cellStyle name="Hipervínculo" xfId="200" builtinId="8" hidden="1"/>
    <cellStyle name="Hipervínculo" xfId="72" builtinId="8" hidden="1"/>
    <cellStyle name="Hipervínculo" xfId="616" builtinId="8" hidden="1"/>
    <cellStyle name="Hipervínculo" xfId="54" builtinId="8" hidden="1"/>
    <cellStyle name="Hipervínculo" xfId="486" builtinId="8" hidden="1"/>
    <cellStyle name="Hipervínculo" xfId="142" builtinId="8" hidden="1"/>
    <cellStyle name="Hipervínculo" xfId="94" builtinId="8" hidden="1"/>
    <cellStyle name="Hipervínculo" xfId="496" builtinId="8" hidden="1"/>
    <cellStyle name="Hipervínculo" xfId="84" builtinId="8" hidden="1"/>
    <cellStyle name="Hipervínculo" xfId="394" builtinId="8" hidden="1"/>
    <cellStyle name="Hipervínculo" xfId="458" builtinId="8" hidden="1"/>
    <cellStyle name="Hipervínculo" xfId="832" builtinId="8" hidden="1"/>
    <cellStyle name="Hipervínculo" xfId="578" builtinId="8" hidden="1"/>
    <cellStyle name="Hipervínculo" xfId="374" builtinId="8" hidden="1"/>
    <cellStyle name="Hipervínculo" xfId="318" builtinId="8" hidden="1"/>
    <cellStyle name="Hipervínculo" xfId="628" builtinId="8" hidden="1"/>
    <cellStyle name="Hipervínculo" xfId="646" builtinId="8" hidden="1"/>
    <cellStyle name="Hipervínculo" xfId="344" builtinId="8" hidden="1"/>
    <cellStyle name="Hipervínculo" xfId="718" builtinId="8" hidden="1"/>
    <cellStyle name="Hipervínculo" xfId="362" builtinId="8" hidden="1"/>
    <cellStyle name="Hipervínculo" xfId="42" builtinId="8" hidden="1"/>
    <cellStyle name="Hipervínculo" xfId="258" builtinId="8" hidden="1"/>
    <cellStyle name="Hipervínculo" xfId="132" builtinId="8" hidden="1"/>
    <cellStyle name="Hipervínculo" xfId="490" builtinId="8" hidden="1"/>
    <cellStyle name="Hipervínculo" xfId="660" builtinId="8" hidden="1"/>
    <cellStyle name="Hipervínculo" xfId="292" builtinId="8" hidden="1"/>
    <cellStyle name="Hipervínculo" xfId="360" builtinId="8" hidden="1"/>
    <cellStyle name="Hipervínculo" xfId="108" builtinId="8" hidden="1"/>
    <cellStyle name="Hipervínculo" xfId="696" builtinId="8" hidden="1"/>
    <cellStyle name="Hipervínculo" xfId="738" builtinId="8" hidden="1"/>
    <cellStyle name="Hipervínculo" xfId="684" builtinId="8" hidden="1"/>
    <cellStyle name="Hipervínculo" xfId="186" builtinId="8" hidden="1"/>
    <cellStyle name="Hipervínculo" xfId="650" builtinId="8" hidden="1"/>
    <cellStyle name="Hipervínculo" xfId="864" builtinId="8" hidden="1"/>
    <cellStyle name="Hipervínculo" xfId="818" builtinId="8" hidden="1"/>
    <cellStyle name="Hipervínculo" xfId="5" builtinId="8" hidden="1"/>
    <cellStyle name="Hipervínculo" xfId="630" builtinId="8" hidden="1"/>
    <cellStyle name="Hipervínculo" xfId="762" builtinId="8" hidden="1"/>
    <cellStyle name="Hipervínculo" xfId="750" builtinId="8" hidden="1"/>
    <cellStyle name="Hipervínculo" xfId="516" builtinId="8" hidden="1"/>
    <cellStyle name="Hipervínculo" xfId="462" builtinId="8" hidden="1"/>
    <cellStyle name="Hipervínculo" xfId="712" builtinId="8" hidden="1"/>
    <cellStyle name="Hipervínculo" xfId="664" builtinId="8" hidden="1"/>
    <cellStyle name="Hipervínculo" xfId="1" builtinId="8" hidden="1"/>
    <cellStyle name="Hipervínculo" xfId="286" builtinId="8" hidden="1"/>
    <cellStyle name="Hipervínculo" xfId="244" builtinId="8" hidden="1"/>
    <cellStyle name="Hipervínculo" xfId="820" builtinId="8" hidden="1"/>
    <cellStyle name="Hipervínculo" xfId="170" builtinId="8" hidden="1"/>
    <cellStyle name="Hipervínculo" xfId="524" builtinId="8" hidden="1"/>
    <cellStyle name="Hipervínculo" xfId="536" builtinId="8" hidden="1"/>
    <cellStyle name="Hipervínculo" xfId="420" builtinId="8" hidden="1"/>
    <cellStyle name="Hipervínculo" xfId="48" builtinId="8" hidden="1"/>
    <cellStyle name="Hipervínculo" xfId="454" builtinId="8" hidden="1"/>
    <cellStyle name="Hipervínculo" xfId="166" builtinId="8" hidden="1"/>
    <cellStyle name="Hipervínculo" xfId="582" builtinId="8" hidden="1"/>
    <cellStyle name="Hipervínculo" xfId="124" builtinId="8" hidden="1"/>
    <cellStyle name="Hipervínculo" xfId="16" builtinId="8" hidden="1"/>
    <cellStyle name="Hipervínculo" xfId="520" builtinId="8" hidden="1"/>
    <cellStyle name="Hipervínculo" xfId="730" builtinId="8" hidden="1"/>
    <cellStyle name="Hipervínculo" xfId="98" builtinId="8" hidden="1"/>
    <cellStyle name="Hipervínculo" xfId="408" builtinId="8" hidden="1"/>
    <cellStyle name="Hipervínculo" xfId="416" builtinId="8" hidden="1"/>
    <cellStyle name="Hipervínculo" xfId="774" builtinId="8" hidden="1"/>
    <cellStyle name="Hipervínculo" xfId="776" builtinId="8" hidden="1"/>
    <cellStyle name="Hipervínculo" xfId="120" builtinId="8" hidden="1"/>
    <cellStyle name="Hipervínculo" xfId="434" builtinId="8" hidden="1"/>
    <cellStyle name="Hipervínculo" xfId="548" builtinId="8" hidden="1"/>
    <cellStyle name="Hipervínculo" xfId="428" builtinId="8" hidden="1"/>
    <cellStyle name="Hipervínculo" xfId="636" builtinId="8" hidden="1"/>
    <cellStyle name="Hipervínculo" xfId="802" builtinId="8" hidden="1"/>
    <cellStyle name="Hipervínculo" xfId="608" builtinId="8" hidden="1"/>
    <cellStyle name="Hipervínculo" xfId="248" builtinId="8" hidden="1"/>
    <cellStyle name="Hipervínculo" xfId="272" builtinId="8" hidden="1"/>
    <cellStyle name="Hipervínculo" xfId="518" builtinId="8" hidden="1"/>
    <cellStyle name="Hipervínculo" xfId="848" builtinId="8" hidden="1"/>
    <cellStyle name="Hipervínculo" xfId="308" builtinId="8" hidden="1"/>
    <cellStyle name="Hipervínculo" xfId="8" builtinId="8" hidden="1"/>
    <cellStyle name="Hipervínculo" xfId="202" builtinId="8" hidden="1"/>
    <cellStyle name="Hipervínculo" xfId="760" builtinId="8" hidden="1"/>
    <cellStyle name="Hipervínculo" xfId="784" builtinId="8" hidden="1"/>
    <cellStyle name="Hipervínculo" xfId="44" builtinId="8" hidden="1"/>
    <cellStyle name="Hipervínculo" xfId="340" builtinId="8" hidden="1"/>
    <cellStyle name="Hipervínculo" xfId="418" builtinId="8" hidden="1"/>
    <cellStyle name="Hipervínculo" xfId="482" builtinId="8" hidden="1"/>
    <cellStyle name="Hipervínculo" xfId="158" builtinId="8" hidden="1"/>
    <cellStyle name="Hipervínculo" xfId="670" builtinId="8" hidden="1"/>
    <cellStyle name="Hipervínculo" xfId="256" builtinId="8" hidden="1"/>
    <cellStyle name="Hipervínculo" xfId="238" builtinId="8" hidden="1"/>
    <cellStyle name="Hipervínculo" xfId="180" builtinId="8" hidden="1"/>
    <cellStyle name="Hipervínculo" xfId="432" builtinId="8" hidden="1"/>
    <cellStyle name="Hipervínculo" xfId="214" builtinId="8" hidden="1"/>
    <cellStyle name="Hipervínculo" xfId="884" builtinId="8" hidden="1"/>
    <cellStyle name="Hipervínculo" xfId="232" builtinId="8" hidden="1"/>
    <cellStyle name="Hipervínculo" xfId="12" builtinId="8" hidden="1"/>
    <cellStyle name="Hipervínculo" xfId="220" builtinId="8" hidden="1"/>
    <cellStyle name="Hipervínculo" xfId="632" builtinId="8" hidden="1"/>
    <cellStyle name="Hipervínculo" xfId="796" builtinId="8" hidden="1"/>
    <cellStyle name="Hipervínculo" xfId="342" builtinId="8" hidden="1"/>
    <cellStyle name="Hipervínculo" xfId="346" builtinId="8" hidden="1"/>
    <cellStyle name="Hipervínculo" xfId="620" builtinId="8" hidden="1"/>
    <cellStyle name="Hipervínculo" xfId="404" builtinId="8" hidden="1"/>
    <cellStyle name="Hipervínculo" xfId="226" builtinId="8" hidden="1"/>
    <cellStyle name="Hipervínculo" xfId="140" builtinId="8" hidden="1"/>
    <cellStyle name="Hipervínculo" xfId="708" builtinId="8" hidden="1"/>
    <cellStyle name="Hipervínculo" xfId="522" builtinId="8" hidden="1"/>
    <cellStyle name="Hipervínculo" xfId="34" builtinId="8" hidden="1"/>
    <cellStyle name="Hipervínculo" xfId="320" builtinId="8" hidden="1"/>
    <cellStyle name="Hipervínculo" xfId="676" builtinId="8" hidden="1"/>
    <cellStyle name="Hipervínculo" xfId="648" builtinId="8" hidden="1"/>
    <cellStyle name="Hipervínculo" xfId="594" builtinId="8" hidden="1"/>
    <cellStyle name="Hipervínculo" xfId="388" builtinId="8" hidden="1"/>
    <cellStyle name="Hipervínculo" xfId="652" builtinId="8" hidden="1"/>
    <cellStyle name="Hipervínculo" xfId="744" builtinId="8" hidden="1"/>
    <cellStyle name="Hipervínculo" xfId="398" builtinId="8" hidden="1"/>
    <cellStyle name="Hipervínculo" xfId="406" builtinId="8" hidden="1"/>
    <cellStyle name="Hipervínculo" xfId="726" builtinId="8" hidden="1"/>
    <cellStyle name="Hipervínculo" xfId="70" builtinId="8" hidden="1"/>
    <cellStyle name="Hipervínculo" xfId="440" builtinId="8" hidden="1"/>
    <cellStyle name="Hipervínculo" xfId="138" builtinId="8" hidden="1"/>
    <cellStyle name="Hipervínculo" xfId="562" builtinId="8" hidden="1"/>
    <cellStyle name="Hipervínculo" xfId="464" builtinId="8" hidden="1"/>
    <cellStyle name="Hipervínculo" xfId="746" builtinId="8" hidden="1"/>
    <cellStyle name="Hipervínculo" xfId="870" builtinId="8" hidden="1"/>
    <cellStyle name="Hipervínculo" xfId="584" builtinId="8" hidden="1"/>
    <cellStyle name="Hipervínculo" xfId="246" builtinId="8" hidden="1"/>
    <cellStyle name="Hipervínculo" xfId="544" builtinId="8" hidden="1"/>
    <cellStyle name="Hipervínculo" xfId="500" builtinId="8" hidden="1"/>
    <cellStyle name="Hipervínculo" xfId="672" builtinId="8" hidden="1"/>
    <cellStyle name="Hipervínculo" xfId="376" builtinId="8" hidden="1"/>
    <cellStyle name="Hipervínculo" xfId="136" builtinId="8" hidden="1"/>
    <cellStyle name="Hipervínculo" xfId="410" builtinId="8" hidden="1"/>
    <cellStyle name="Hipervínculo" xfId="876" builtinId="8" hidden="1"/>
    <cellStyle name="Hipervínculo" xfId="188" builtinId="8" hidden="1"/>
    <cellStyle name="Hipervínculo" xfId="502" builtinId="8" hidden="1"/>
    <cellStyle name="Hipervínculo" xfId="598" builtinId="8" hidden="1"/>
    <cellStyle name="Hipervínculo" xfId="706" builtinId="8" hidden="1"/>
    <cellStyle name="Hipervínculo" xfId="106" builtinId="8" hidden="1"/>
    <cellStyle name="Hipervínculo" xfId="326" builtinId="8" hidden="1"/>
    <cellStyle name="Hipervínculo" xfId="102" builtinId="8" hidden="1"/>
    <cellStyle name="Hipervínculo" xfId="476" builtinId="8" hidden="1"/>
    <cellStyle name="Hipervínculo" xfId="18" builtinId="8" hidden="1"/>
    <cellStyle name="Hipervínculo" xfId="442" builtinId="8" hidden="1"/>
    <cellStyle name="Hipervínculo" xfId="658" builtinId="8" hidden="1"/>
    <cellStyle name="Hipervínculo" xfId="228" builtinId="8" hidden="1"/>
    <cellStyle name="Hipervínculo" xfId="74" builtinId="8" hidden="1"/>
    <cellStyle name="Hipervínculo" xfId="480" builtinId="8" hidden="1"/>
    <cellStyle name="Hipervínculo" xfId="716" builtinId="8" hidden="1"/>
    <cellStyle name="Hipervínculo" xfId="378" builtinId="8" hidden="1"/>
    <cellStyle name="Hipervínculo" xfId="574" builtinId="8" hidden="1"/>
    <cellStyle name="Hipervínculo" xfId="846" builtinId="8" hidden="1"/>
    <cellStyle name="Hipervínculo" xfId="358" builtinId="8" hidden="1"/>
    <cellStyle name="Hipervínculo" xfId="466" builtinId="8" hidden="1"/>
    <cellStyle name="Hipervínculo" xfId="674" builtinId="8" hidden="1"/>
    <cellStyle name="Hipervínculo" xfId="736" builtinId="8" hidden="1"/>
    <cellStyle name="Hipervínculo" xfId="498" builtinId="8" hidden="1"/>
    <cellStyle name="Hipervínculo" xfId="236" builtinId="8" hidden="1"/>
    <cellStyle name="Hipervínculo" xfId="756" builtinId="8" hidden="1"/>
    <cellStyle name="Hipervínculo" xfId="766" builtinId="8" hidden="1"/>
    <cellStyle name="Hipervínculo" xfId="614" builtinId="8" hidden="1"/>
    <cellStyle name="Hipervínculo" xfId="474" builtinId="8" hidden="1"/>
    <cellStyle name="Hipervínculo" xfId="792" builtinId="8" hidden="1"/>
    <cellStyle name="Hipervínculo" xfId="526" builtinId="8" hidden="1"/>
    <cellStyle name="Hipervínculo" xfId="30" builtinId="8" hidden="1"/>
    <cellStyle name="Hipervínculo" xfId="192" builtinId="8" hidden="1"/>
    <cellStyle name="Hipervínculo" xfId="604" builtinId="8" hidden="1"/>
    <cellStyle name="Hipervínculo" xfId="264" builtinId="8" hidden="1"/>
    <cellStyle name="Hipervínculo" xfId="898" builtinId="8" hidden="1"/>
    <cellStyle name="Hipervínculo" xfId="66" builtinId="8" hidden="1"/>
    <cellStyle name="Hipervínculo" xfId="742" builtinId="8" hidden="1"/>
    <cellStyle name="Hipervínculo" xfId="580" builtinId="8" hidden="1"/>
    <cellStyle name="Hipervínculo" xfId="644" builtinId="8" hidden="1"/>
    <cellStyle name="Hipervínculo" xfId="444" builtinId="8" hidden="1"/>
    <cellStyle name="Hipervínculo" xfId="680" builtinId="8" hidden="1"/>
    <cellStyle name="Hipervínculo" xfId="52" builtinId="8" hidden="1"/>
    <cellStyle name="Hipervínculo" xfId="122" builtinId="8" hidden="1"/>
    <cellStyle name="Hipervínculo" xfId="114" builtinId="8" hidden="1"/>
    <cellStyle name="Hipervínculo" xfId="690" builtinId="8" hidden="1"/>
    <cellStyle name="Hipervínculo" xfId="336" builtinId="8" hidden="1"/>
    <cellStyle name="Hipervínculo" xfId="100" builtinId="8" hidden="1"/>
    <cellStyle name="Hipervínculo" xfId="572" builtinId="8" hidden="1"/>
    <cellStyle name="Hipervínculo" xfId="828" builtinId="8" hidden="1"/>
    <cellStyle name="Hipervínculo" xfId="306" builtinId="8" hidden="1"/>
    <cellStyle name="Hipervínculo" xfId="478" builtinId="8" hidden="1"/>
    <cellStyle name="Hipervínculo" xfId="282" builtinId="8" hidden="1"/>
    <cellStyle name="Hipervínculo" xfId="896" builtinId="8" hidden="1"/>
    <cellStyle name="Hipervínculo" xfId="262" builtinId="8" hidden="1"/>
    <cellStyle name="Hipervínculo" xfId="290" builtinId="8" hidden="1"/>
    <cellStyle name="Hipervínculo" xfId="678" builtinId="8" hidden="1"/>
    <cellStyle name="Hipervínculo" xfId="858" builtinId="8" hidden="1"/>
    <cellStyle name="Hipervínculo" xfId="218" builtinId="8" hidden="1"/>
    <cellStyle name="Hipervínculo" xfId="96" builtinId="8" hidden="1"/>
    <cellStyle name="Hipervínculo" xfId="364" builtinId="8" hidden="1"/>
    <cellStyle name="Hipervínculo" xfId="862" builtinId="8" hidden="1"/>
    <cellStyle name="Hipervínculo" xfId="334" builtinId="8" hidden="1"/>
    <cellStyle name="Hipervínculo" xfId="528" builtinId="8" hidden="1"/>
    <cellStyle name="Hipervínculo" xfId="782" builtinId="8" hidden="1"/>
    <cellStyle name="Hipervínculo" xfId="68" builtinId="8" hidden="1"/>
    <cellStyle name="Hipervínculo" xfId="878" builtinId="8" hidden="1"/>
    <cellStyle name="Hipervínculo" xfId="822" builtinId="8" hidden="1"/>
    <cellStyle name="Hipervínculo" xfId="146" builtinId="8" hidden="1"/>
    <cellStyle name="Hipervínculo" xfId="560" builtinId="8" hidden="1"/>
    <cellStyle name="Hipervínculo" xfId="468" builtinId="8" hidden="1"/>
    <cellStyle name="Hipervínculo" xfId="698" builtinId="8" hidden="1"/>
    <cellStyle name="Hipervínculo" xfId="266" builtinId="8" hidden="1"/>
    <cellStyle name="Hipervínculo" xfId="602" builtinId="8" hidden="1"/>
    <cellStyle name="Hipervínculo" xfId="826" builtinId="8" hidden="1"/>
    <cellStyle name="Hipervínculo" xfId="184" builtinId="8" hidden="1"/>
    <cellStyle name="Hipervínculo" xfId="208" builtinId="8" hidden="1"/>
    <cellStyle name="Hipervínculo" xfId="46" builtinId="8" hidden="1"/>
    <cellStyle name="Hipervínculo" xfId="390" builtinId="8" hidden="1"/>
    <cellStyle name="Hipervínculo" xfId="130" builtinId="8" hidden="1"/>
    <cellStyle name="Hipervínculo" xfId="662" builtinId="8" hidden="1"/>
    <cellStyle name="Hipervínculo" xfId="216" builtinId="8" hidden="1"/>
    <cellStyle name="Hipervínculo" xfId="436" builtinId="8" hidden="1"/>
    <cellStyle name="Hipervínculo" xfId="788" builtinId="8" hidden="1"/>
    <cellStyle name="Hipervínculo" xfId="860" builtinId="8" hidden="1"/>
    <cellStyle name="Hipervínculo" xfId="380" builtinId="8" hidden="1"/>
    <cellStyle name="Hipervínculo" xfId="424" builtinId="8" hidden="1"/>
    <cellStyle name="Hipervínculo" xfId="472" builtinId="8" hidden="1"/>
    <cellStyle name="Hipervínculo" xfId="402" builtinId="8" hidden="1"/>
    <cellStyle name="Hipervínculo" xfId="534" builtinId="8" hidden="1"/>
    <cellStyle name="Hipervínculo" xfId="794" builtinId="8" hidden="1"/>
    <cellStyle name="Hipervínculo" xfId="386" builtinId="8" hidden="1"/>
    <cellStyle name="Hipervínculo" xfId="250" builtinId="8" hidden="1"/>
    <cellStyle name="Hipervínculo" xfId="724" builtinId="8" hidden="1"/>
    <cellStyle name="Hipervínculo" xfId="552" builtinId="8" hidden="1"/>
    <cellStyle name="Hipervínculo" xfId="564" builtinId="8" hidden="1"/>
    <cellStyle name="Hipervínculo" xfId="570" builtinId="8" hidden="1"/>
    <cellStyle name="Hipervínculo" xfId="128" builtinId="8" hidden="1"/>
    <cellStyle name="Hipervínculo" xfId="586" builtinId="8" hidden="1"/>
    <cellStyle name="Hipervínculo" xfId="732" builtinId="8" hidden="1"/>
    <cellStyle name="Hipervínculo" xfId="324" builtinId="8" hidden="1"/>
    <cellStyle name="Hipervínculo" xfId="824" builtinId="8" hidden="1"/>
    <cellStyle name="Hipervínculo" xfId="328" builtinId="8" hidden="1"/>
    <cellStyle name="Hipervínculo" xfId="196" builtinId="8" hidden="1"/>
    <cellStyle name="Hipervínculo" xfId="494" builtinId="8" hidden="1"/>
    <cellStyle name="Hipervínculo" xfId="234" builtinId="8" hidden="1"/>
    <cellStyle name="Hipervínculo" xfId="624" builtinId="8" hidden="1"/>
    <cellStyle name="Hipervínculo" xfId="874" builtinId="8" hidden="1"/>
    <cellStyle name="Hipervínculo" xfId="280" builtinId="8" hidden="1"/>
    <cellStyle name="Hipervínculo" xfId="430" builtinId="8" hidden="1"/>
    <cellStyle name="Hipervínculo" xfId="212" builtinId="8" hidden="1"/>
    <cellStyle name="Hipervínculo" xfId="118" builtinId="8" hidden="1"/>
    <cellStyle name="Hipervínculo" xfId="330" builtinId="8" hidden="1"/>
    <cellStyle name="Hipervínculo" xfId="10" builtinId="8" hidden="1"/>
    <cellStyle name="Hipervínculo" xfId="88" builtinId="8" hidden="1"/>
    <cellStyle name="Hipervínculo" xfId="606" builtinId="8" hidden="1"/>
    <cellStyle name="Hipervínculo" xfId="700" builtinId="8" hidden="1"/>
    <cellStyle name="Hipervínculo" xfId="284" builtinId="8" hidden="1"/>
    <cellStyle name="Hipervínculo" xfId="866" builtinId="8" hidden="1"/>
    <cellStyle name="Hipervínculo" xfId="810" builtinId="8" hidden="1"/>
    <cellStyle name="Hipervínculo" xfId="814" builtinId="8" hidden="1"/>
    <cellStyle name="Hipervínculo" xfId="422" builtinId="8" hidden="1"/>
    <cellStyle name="Hipervínculo" xfId="790" builtinId="8" hidden="1"/>
    <cellStyle name="Hipervínculo" xfId="62" builtinId="8" hidden="1"/>
    <cellStyle name="Hipervínculo" xfId="40" builtinId="8" hidden="1"/>
    <cellStyle name="Hipervínculo" xfId="176" builtinId="8" hidden="1"/>
    <cellStyle name="Hipervínculo" xfId="728" builtinId="8" hidden="1"/>
    <cellStyle name="Hipervínculo" xfId="558" builtinId="8" hidden="1"/>
    <cellStyle name="Hipervínculo" xfId="354" builtinId="8" hidden="1"/>
    <cellStyle name="Hipervínculo" xfId="804" builtinId="8" hidden="1"/>
    <cellStyle name="Hipervínculo" xfId="692" builtinId="8" hidden="1"/>
    <cellStyle name="Hipervínculo" xfId="58" builtinId="8" hidden="1"/>
    <cellStyle name="Hipervínculo" xfId="302" builtinId="8" hidden="1"/>
    <cellStyle name="Hipervínculo" xfId="160" builtinId="8" hidden="1"/>
    <cellStyle name="Hipervínculo" xfId="252" builtinId="8" hidden="1"/>
    <cellStyle name="Hipervínculo" xfId="770" builtinId="8" hidden="1"/>
    <cellStyle name="Hipervínculo" xfId="384" builtinId="8" hidden="1"/>
    <cellStyle name="Hipervínculo" xfId="834" builtinId="8" hidden="1"/>
    <cellStyle name="Hipervínculo" xfId="162" builtinId="8" hidden="1"/>
    <cellStyle name="Hipervínculo" xfId="28" builtinId="8" hidden="1"/>
    <cellStyle name="Hipervínculo" xfId="592" builtinId="8" hidden="1"/>
    <cellStyle name="Hipervínculo" xfId="786" builtinId="8" hidden="1"/>
    <cellStyle name="Hipervínculo" xfId="720" builtinId="8" hidden="1"/>
    <cellStyle name="Hipervínculo" xfId="710" builtinId="8" hidden="1"/>
    <cellStyle name="Hipervínculo" xfId="372" builtinId="8" hidden="1"/>
    <cellStyle name="Hipervínculo" xfId="734" builtinId="8" hidden="1"/>
    <cellStyle name="Hipervínculo" xfId="332" builtinId="8" hidden="1"/>
    <cellStyle name="Hipervínculo" xfId="92" builtinId="8" hidden="1"/>
    <cellStyle name="Hipervínculo" xfId="850" builtinId="8" hidden="1"/>
    <cellStyle name="Hipervínculo" xfId="294" builtinId="8" hidden="1"/>
    <cellStyle name="Hipervínculo" xfId="894" builtinId="8" hidden="1"/>
    <cellStyle name="Hipervínculo" xfId="546" builtinId="8" hidden="1"/>
    <cellStyle name="Hipervínculo" xfId="532" builtinId="8" hidden="1"/>
    <cellStyle name="Hipervínculo" xfId="426" builtinId="8" hidden="1"/>
    <cellStyle name="Hipervínculo" xfId="618" builtinId="8" hidden="1"/>
    <cellStyle name="Hipervínculo" xfId="182" builtinId="8" hidden="1"/>
    <cellStyle name="Hipervínculo" xfId="772" builtinId="8" hidden="1"/>
    <cellStyle name="Hipervínculo" xfId="510" builtinId="8" hidden="1"/>
    <cellStyle name="Hipervínculo" xfId="60" builtinId="8" hidden="1"/>
    <cellStyle name="Hipervínculo" xfId="488" builtinId="8" hidden="1"/>
    <cellStyle name="Hipervínculo" xfId="900" builtinId="8" hidden="1"/>
    <cellStyle name="Hipervínculo" xfId="414" builtinId="8" hidden="1"/>
    <cellStyle name="Hipervínculo" xfId="350" builtinId="8" hidden="1"/>
    <cellStyle name="Hipervínculo" xfId="164" builtinId="8" hidden="1"/>
    <cellStyle name="Hipervínculo" xfId="638" builtinId="8" hidden="1"/>
    <cellStyle name="Hipervínculo" xfId="222" builtinId="8" hidden="1"/>
    <cellStyle name="Hipervínculo" xfId="556" builtinId="8" hidden="1"/>
    <cellStyle name="Hipervínculo" xfId="300" builtinId="8" hidden="1"/>
    <cellStyle name="Hipervínculo" xfId="134" builtinId="8" hidden="1"/>
    <cellStyle name="Hipervínculo" xfId="298" builtinId="8" hidden="1"/>
    <cellStyle name="Hipervínculo" xfId="438" builtinId="8" hidden="1"/>
    <cellStyle name="Hipervínculo" xfId="270" builtinId="8" hidden="1"/>
    <cellStyle name="Hipervínculo" xfId="448" builtinId="8" hidden="1"/>
    <cellStyle name="Hipervínculo" xfId="610" builtinId="8" hidden="1"/>
    <cellStyle name="Hipervínculo" xfId="322" builtinId="8" hidden="1"/>
    <cellStyle name="Hipervínculo" xfId="24" builtinId="8" hidden="1"/>
    <cellStyle name="Hipervínculo" xfId="198" builtinId="8" hidden="1"/>
    <cellStyle name="Hipervínculo" xfId="830" builtinId="8" hidden="1"/>
    <cellStyle name="Hipervínculo" xfId="852" builtinId="8" hidden="1"/>
    <cellStyle name="Hipervínculo" xfId="312" builtinId="8" hidden="1"/>
    <cellStyle name="Hipervínculo" xfId="446" builtinId="8" hidden="1"/>
    <cellStyle name="Hipervínculo" xfId="612" builtinId="8" hidden="1"/>
    <cellStyle name="Hipervínculo" xfId="86" builtinId="8" hidden="1"/>
    <cellStyle name="Hipervínculo" xfId="352" builtinId="8" hidden="1"/>
    <cellStyle name="Hipervínculo" xfId="800" builtinId="8" hidden="1"/>
    <cellStyle name="Hipervínculo" xfId="806" builtinId="8" hidden="1"/>
    <cellStyle name="Hipervínculo" xfId="366" builtinId="8" hidden="1"/>
    <cellStyle name="Hipervínculo" xfId="156" builtinId="8" hidden="1"/>
    <cellStyle name="Hipervínculo" xfId="702" builtinId="8" hidden="1"/>
    <cellStyle name="Hipervínculo" xfId="704" builtinId="8" hidden="1"/>
    <cellStyle name="Hipervínculo" xfId="172" builtinId="8" hidden="1"/>
    <cellStyle name="Hipervínculo" xfId="668" builtinId="8" hidden="1"/>
    <cellStyle name="Hipervínculo" xfId="460" builtinId="8" hidden="1"/>
    <cellStyle name="Hipervínculo" xfId="310" builtinId="8" hidden="1"/>
    <cellStyle name="Hipervínculo" xfId="780" builtinId="8" hidden="1"/>
    <cellStyle name="Hipervínculo" xfId="112" builtinId="8" hidden="1"/>
    <cellStyle name="Hipervínculo" xfId="190" builtinId="8" hidden="1"/>
    <cellStyle name="Hipervínculo" xfId="642" builtinId="8" hidden="1"/>
    <cellStyle name="Hipervínculo" xfId="268" builtinId="8" hidden="1"/>
    <cellStyle name="Hipervínculo" xfId="752" builtinId="8" hidden="1"/>
    <cellStyle name="Hipervínculo" xfId="274" builtinId="8" hidden="1"/>
    <cellStyle name="Hipervínculo" xfId="260" builtinId="8" hidden="1"/>
    <cellStyle name="Hipervínculo" xfId="550" builtinId="8" hidden="1"/>
    <cellStyle name="Hipervínculo" xfId="154" builtinId="8" hidden="1"/>
    <cellStyle name="Hipervínculo" xfId="566" builtinId="8" hidden="1"/>
    <cellStyle name="Hipervínculo" xfId="688" builtinId="8" hidden="1"/>
    <cellStyle name="Hipervínculo" xfId="242" builtinId="8" hidden="1"/>
    <cellStyle name="Hipervínculo" xfId="470" builtinId="8" hidden="1"/>
    <cellStyle name="Hipervínculo" xfId="600" builtinId="8" hidden="1"/>
    <cellStyle name="Hipervínculo" xfId="36" builtinId="8" hidden="1"/>
    <cellStyle name="Hipervínculo" xfId="634" builtinId="8" hidden="1"/>
    <cellStyle name="Hipervínculo" xfId="902" builtinId="8" hidden="1"/>
    <cellStyle name="Hipervínculo" xfId="450" builtinId="8" hidden="1"/>
    <cellStyle name="Hipervínculo" xfId="512" builtinId="8" hidden="1"/>
    <cellStyle name="Hipervínculo" xfId="880" builtinId="8" hidden="1"/>
    <cellStyle name="Hipervínculo" xfId="90" builtinId="8" hidden="1"/>
    <cellStyle name="Hipervínculo" xfId="682" builtinId="8" hidden="1"/>
    <cellStyle name="Hipervínculo" xfId="714" builtinId="8" hidden="1"/>
    <cellStyle name="Hipervínculo" xfId="278" builtinId="8" hidden="1"/>
    <cellStyle name="Hipervínculo" xfId="590" builtinId="8" hidden="1"/>
    <cellStyle name="Hipervínculo" xfId="22" builtinId="8" hidden="1"/>
    <cellStyle name="Hipervínculo" xfId="868" builtinId="8" hidden="1"/>
    <cellStyle name="Hipervínculo" xfId="844" builtinId="8" hidden="1"/>
    <cellStyle name="Hipervínculo" xfId="396" builtinId="8" hidden="1"/>
    <cellStyle name="Hipervínculo" xfId="872" builtinId="8" hidden="1"/>
    <cellStyle name="Hipervínculo" xfId="640" builtinId="8" hidden="1"/>
    <cellStyle name="Hipervínculo" xfId="842" builtinId="8" hidden="1"/>
    <cellStyle name="Hipervínculo" xfId="392" builtinId="8" hidden="1"/>
    <cellStyle name="Hipervínculo" xfId="254" builtinId="8" hidden="1"/>
    <cellStyle name="Hipervínculo" xfId="240" builtinId="8" hidden="1"/>
    <cellStyle name="Hipervínculo" xfId="150" builtinId="8" hidden="1"/>
    <cellStyle name="Hipervínculo" xfId="542" builtinId="8" hidden="1"/>
    <cellStyle name="Hipervínculo" xfId="506" builtinId="8" hidden="1"/>
    <cellStyle name="Hipervínculo" xfId="686" builtinId="8" hidden="1"/>
    <cellStyle name="Hipervínculo" xfId="456" builtinId="8" hidden="1"/>
    <cellStyle name="Hipervínculo" xfId="530" builtinId="8" hidden="1"/>
    <cellStyle name="Hipervínculo" xfId="576" builtinId="8" hidden="1"/>
    <cellStyle name="Hipervínculo" xfId="210" builtinId="8" hidden="1"/>
    <cellStyle name="Hipervínculo" xfId="56" builtinId="8" hidden="1"/>
    <cellStyle name="Hipervínculo" xfId="764" builtinId="8" hidden="1"/>
    <cellStyle name="Hipervínculo" xfId="626" builtinId="8" hidden="1"/>
    <cellStyle name="Hipervínculo" xfId="758" builtinId="8" hidden="1"/>
    <cellStyle name="Hipervínculo visitado" xfId="641" builtinId="9" hidden="1"/>
    <cellStyle name="Hipervínculo visitado" xfId="309" builtinId="9" hidden="1"/>
    <cellStyle name="Hipervínculo visitado" xfId="631" builtinId="9" hidden="1"/>
    <cellStyle name="Hipervínculo visitado" xfId="745" builtinId="9" hidden="1"/>
    <cellStyle name="Hipervínculo visitado" xfId="159" builtinId="9" hidden="1"/>
    <cellStyle name="Hipervínculo visitado" xfId="883" builtinId="9" hidden="1"/>
    <cellStyle name="Hipervínculo visitado" xfId="283" builtinId="9" hidden="1"/>
    <cellStyle name="Hipervínculo visitado" xfId="75" builtinId="9" hidden="1"/>
    <cellStyle name="Hipervínculo visitado" xfId="897" builtinId="9" hidden="1"/>
    <cellStyle name="Hipervínculo visitado" xfId="271" builtinId="9" hidden="1"/>
    <cellStyle name="Hipervínculo visitado" xfId="501" builtinId="9" hidden="1"/>
    <cellStyle name="Hipervínculo visitado" xfId="723" builtinId="9" hidden="1"/>
    <cellStyle name="Hipervínculo visitado" xfId="313" builtinId="9" hidden="1"/>
    <cellStyle name="Hipervínculo visitado" xfId="255" builtinId="9" hidden="1"/>
    <cellStyle name="Hipervínculo visitado" xfId="289" builtinId="9" hidden="1"/>
    <cellStyle name="Hipervínculo visitado" xfId="887" builtinId="9" hidden="1"/>
    <cellStyle name="Hipervínculo visitado" xfId="505" builtinId="9" hidden="1"/>
    <cellStyle name="Hipervínculo visitado" xfId="371" builtinId="9" hidden="1"/>
    <cellStyle name="Hipervínculo visitado" xfId="173" builtinId="9" hidden="1"/>
    <cellStyle name="Hipervínculo visitado" xfId="379" builtinId="9" hidden="1"/>
    <cellStyle name="Hipervínculo visitado" xfId="529" builtinId="9" hidden="1"/>
    <cellStyle name="Hipervínculo visitado" xfId="891" builtinId="9" hidden="1"/>
    <cellStyle name="Hipervínculo visitado" xfId="225" builtinId="9" hidden="1"/>
    <cellStyle name="Hipervínculo visitado" xfId="853" builtinId="9" hidden="1"/>
    <cellStyle name="Hipervínculo visitado" xfId="515" builtinId="9" hidden="1"/>
    <cellStyle name="Hipervínculo visitado" xfId="391" builtinId="9" hidden="1"/>
    <cellStyle name="Hipervínculo visitado" xfId="709" builtinId="9" hidden="1"/>
    <cellStyle name="Hipervínculo visitado" xfId="333" builtinId="9" hidden="1"/>
    <cellStyle name="Hipervínculo visitado" xfId="753" builtinId="9" hidden="1"/>
    <cellStyle name="Hipervínculo visitado" xfId="851" builtinId="9" hidden="1"/>
    <cellStyle name="Hipervínculo visitado" xfId="397" builtinId="9" hidden="1"/>
    <cellStyle name="Hipervínculo visitado" xfId="611" builtinId="9" hidden="1"/>
    <cellStyle name="Hipervínculo visitado" xfId="893" builtinId="9" hidden="1"/>
    <cellStyle name="Hipervínculo visitado" xfId="45" builtinId="9" hidden="1"/>
    <cellStyle name="Hipervínculo visitado" xfId="741" builtinId="9" hidden="1"/>
    <cellStyle name="Hipervínculo visitado" xfId="787" builtinId="9" hidden="1"/>
    <cellStyle name="Hipervínculo visitado" xfId="149" builtinId="9" hidden="1"/>
    <cellStyle name="Hipervínculo visitado" xfId="697" builtinId="9" hidden="1"/>
    <cellStyle name="Hipervínculo visitado" xfId="487" builtinId="9" hidden="1"/>
    <cellStyle name="Hipervínculo visitado" xfId="757" builtinId="9" hidden="1"/>
    <cellStyle name="Hipervínculo visitado" xfId="607" builtinId="9" hidden="1"/>
    <cellStyle name="Hipervínculo visitado" xfId="559" builtinId="9" hidden="1"/>
    <cellStyle name="Hipervínculo visitado" xfId="681" builtinId="9" hidden="1"/>
    <cellStyle name="Hipervínculo visitado" xfId="651" builtinId="9" hidden="1"/>
    <cellStyle name="Hipervínculo visitado" xfId="395" builtinId="9" hidden="1"/>
    <cellStyle name="Hipervínculo visitado" xfId="659" builtinId="9" hidden="1"/>
    <cellStyle name="Hipervínculo visitado" xfId="101" builtinId="9" hidden="1"/>
    <cellStyle name="Hipervínculo visitado" xfId="623" builtinId="9" hidden="1"/>
    <cellStyle name="Hipervínculo visitado" xfId="657" builtinId="9" hidden="1"/>
    <cellStyle name="Hipervínculo visitado" xfId="73" builtinId="9" hidden="1"/>
    <cellStyle name="Hipervínculo visitado" xfId="633" builtinId="9" hidden="1"/>
    <cellStyle name="Hipervínculo visitado" xfId="237" builtinId="9" hidden="1"/>
    <cellStyle name="Hipervínculo visitado" xfId="767" builtinId="9" hidden="1"/>
    <cellStyle name="Hipervínculo visitado" xfId="521" builtinId="9" hidden="1"/>
    <cellStyle name="Hipervínculo visitado" xfId="737" builtinId="9" hidden="1"/>
    <cellStyle name="Hipervínculo visitado" xfId="643" builtinId="9" hidden="1"/>
    <cellStyle name="Hipervínculo visitado" xfId="541" builtinId="9" hidden="1"/>
    <cellStyle name="Hipervínculo visitado" xfId="383" builtinId="9" hidden="1"/>
    <cellStyle name="Hipervínculo visitado" xfId="531" builtinId="9" hidden="1"/>
    <cellStyle name="Hipervínculo visitado" xfId="137" builtinId="9" hidden="1"/>
    <cellStyle name="Hipervínculo visitado" xfId="525" builtinId="9" hidden="1"/>
    <cellStyle name="Hipervínculo visitado" xfId="489" builtinId="9" hidden="1"/>
    <cellStyle name="Hipervínculo visitado" xfId="595" builtinId="9" hidden="1"/>
    <cellStyle name="Hipervínculo visitado" xfId="805" builtinId="9" hidden="1"/>
    <cellStyle name="Hipervínculo visitado" xfId="169" builtinId="9" hidden="1"/>
    <cellStyle name="Hipervínculo visitado" xfId="733" builtinId="9" hidden="1"/>
    <cellStyle name="Hipervínculo visitado" xfId="335" builtinId="9" hidden="1"/>
    <cellStyle name="Hipervínculo visitado" xfId="129" builtinId="9" hidden="1"/>
    <cellStyle name="Hipervínculo visitado" xfId="425" builtinId="9" hidden="1"/>
    <cellStyle name="Hipervínculo visitado" xfId="679" builtinId="9" hidden="1"/>
    <cellStyle name="Hipervínculo visitado" xfId="59" builtinId="9" hidden="1"/>
    <cellStyle name="Hipervínculo visitado" xfId="901" builtinId="9" hidden="1"/>
    <cellStyle name="Hipervínculo visitado" xfId="765" builtinId="9" hidden="1"/>
    <cellStyle name="Hipervínculo visitado" xfId="569" builtinId="9" hidden="1"/>
    <cellStyle name="Hipervínculo visitado" xfId="537" builtinId="9" hidden="1"/>
    <cellStyle name="Hipervínculo visitado" xfId="31" builtinId="9" hidden="1"/>
    <cellStyle name="Hipervínculo visitado" xfId="41" builtinId="9" hidden="1"/>
    <cellStyle name="Hipervínculo visitado" xfId="461" builtinId="9" hidden="1"/>
    <cellStyle name="Hipervínculo visitado" xfId="669" builtinId="9" hidden="1"/>
    <cellStyle name="Hipervínculo visitado" xfId="849" builtinId="9" hidden="1"/>
    <cellStyle name="Hipervínculo visitado" xfId="799" builtinId="9" hidden="1"/>
    <cellStyle name="Hipervínculo visitado" xfId="713" builtinId="9" hidden="1"/>
    <cellStyle name="Hipervínculo visitado" xfId="67" builtinId="9" hidden="1"/>
    <cellStyle name="Hipervínculo visitado" xfId="2" builtinId="9" hidden="1"/>
    <cellStyle name="Hipervínculo visitado" xfId="743" builtinId="9" hidden="1"/>
    <cellStyle name="Hipervínculo visitado" xfId="661" builtinId="9" hidden="1"/>
    <cellStyle name="Hipervínculo visitado" xfId="365" builtinId="9" hidden="1"/>
    <cellStyle name="Hipervínculo visitado" xfId="121" builtinId="9" hidden="1"/>
    <cellStyle name="Hipervínculo visitado" xfId="337" builtinId="9" hidden="1"/>
    <cellStyle name="Hipervínculo visitado" xfId="327" builtinId="9" hidden="1"/>
    <cellStyle name="Hipervínculo visitado" xfId="65" builtinId="9" hidden="1"/>
    <cellStyle name="Hipervínculo visitado" xfId="399" builtinId="9" hidden="1"/>
    <cellStyle name="Hipervínculo visitado" xfId="273" builtinId="9" hidden="1"/>
    <cellStyle name="Hipervínculo visitado" xfId="407" builtinId="9" hidden="1"/>
    <cellStyle name="Hipervínculo visitado" xfId="277" builtinId="9" hidden="1"/>
    <cellStyle name="Hipervínculo visitado" xfId="197" builtinId="9" hidden="1"/>
    <cellStyle name="Hipervínculo visitado" xfId="725" builtinId="9" hidden="1"/>
    <cellStyle name="Hipervínculo visitado" xfId="381" builtinId="9" hidden="1"/>
    <cellStyle name="Hipervínculo visitado" xfId="201" builtinId="9" hidden="1"/>
    <cellStyle name="Hipervínculo visitado" xfId="605" builtinId="9" hidden="1"/>
    <cellStyle name="Hipervínculo visitado" xfId="585" builtinId="9" hidden="1"/>
    <cellStyle name="Hipervínculo visitado" xfId="253" builtinId="9" hidden="1"/>
    <cellStyle name="Hipervínculo visitado" xfId="533" builtinId="9" hidden="1"/>
    <cellStyle name="Hipervínculo visitado" xfId="673" builtinId="9" hidden="1"/>
    <cellStyle name="Hipervínculo visitado" xfId="127" builtinId="9" hidden="1"/>
    <cellStyle name="Hipervínculo visitado" xfId="615" builtinId="9" hidden="1"/>
    <cellStyle name="Hipervínculo visitado" xfId="639" builtinId="9" hidden="1"/>
    <cellStyle name="Hipervínculo visitado" xfId="393" builtinId="9" hidden="1"/>
    <cellStyle name="Hipervínculo visitado" xfId="715" builtinId="9" hidden="1"/>
    <cellStyle name="Hipervínculo visitado" xfId="829" builtinId="9" hidden="1"/>
    <cellStyle name="Hipervínculo visitado" xfId="663" builtinId="9" hidden="1"/>
    <cellStyle name="Hipervínculo visitado" xfId="363" builtinId="9" hidden="1"/>
    <cellStyle name="Hipervínculo visitado" xfId="819" builtinId="9" hidden="1"/>
    <cellStyle name="Hipervínculo visitado" xfId="329" builtinId="9" hidden="1"/>
    <cellStyle name="Hipervínculo visitado" xfId="4" builtinId="9" hidden="1"/>
    <cellStyle name="Hipervínculo visitado" xfId="719" builtinId="9" hidden="1"/>
    <cellStyle name="Hipervínculo visitado" xfId="839" builtinId="9" hidden="1"/>
    <cellStyle name="Hipervínculo visitado" xfId="795" builtinId="9" hidden="1"/>
    <cellStyle name="Hipervínculo visitado" xfId="815" builtinId="9" hidden="1"/>
    <cellStyle name="Hipervínculo visitado" xfId="581" builtinId="9" hidden="1"/>
    <cellStyle name="Hipervínculo visitado" xfId="369" builtinId="9" hidden="1"/>
    <cellStyle name="Hipervínculo visitado" xfId="519" builtinId="9" hidden="1"/>
    <cellStyle name="Hipervínculo visitado" xfId="729" builtinId="9" hidden="1"/>
    <cellStyle name="Hipervínculo visitado" xfId="43" builtinId="9" hidden="1"/>
    <cellStyle name="Hipervínculo visitado" xfId="377" builtinId="9" hidden="1"/>
    <cellStyle name="Hipervínculo visitado" xfId="143" builtinId="9" hidden="1"/>
    <cellStyle name="Hipervínculo visitado" xfId="241" builtinId="9" hidden="1"/>
    <cellStyle name="Hipervínculo visitado" xfId="571" builtinId="9" hidden="1"/>
    <cellStyle name="Hipervínculo visitado" xfId="695" builtinId="9" hidden="1"/>
    <cellStyle name="Hipervínculo visitado" xfId="139" builtinId="9" hidden="1"/>
    <cellStyle name="Hipervínculo visitado" xfId="473" builtinId="9" hidden="1"/>
    <cellStyle name="Hipervínculo visitado" xfId="675" builtinId="9" hidden="1"/>
    <cellStyle name="Hipervínculo visitado" xfId="189" builtinId="9" hidden="1"/>
    <cellStyle name="Hipervínculo visitado" xfId="481" builtinId="9" hidden="1"/>
    <cellStyle name="Hipervínculo visitado" xfId="133" builtinId="9" hidden="1"/>
    <cellStyle name="Hipervínculo visitado" xfId="385" builtinId="9" hidden="1"/>
    <cellStyle name="Hipervínculo visitado" xfId="603" builtinId="9" hidden="1"/>
    <cellStyle name="Hipervínculo visitado" xfId="739" builtinId="9" hidden="1"/>
    <cellStyle name="Hipervínculo visitado" xfId="885" builtinId="9" hidden="1"/>
    <cellStyle name="Hipervínculo visitado" xfId="549" builtinId="9" hidden="1"/>
    <cellStyle name="Hipervínculo visitado" xfId="863" builtinId="9" hidden="1"/>
    <cellStyle name="Hipervínculo visitado" xfId="87" builtinId="9" hidden="1"/>
    <cellStyle name="Hipervínculo visitado" xfId="215" builtinId="9" hidden="1"/>
    <cellStyle name="Hipervínculo visitado" xfId="593" builtinId="9" hidden="1"/>
    <cellStyle name="Hipervínculo visitado" xfId="269" builtinId="9" hidden="1"/>
    <cellStyle name="Hipervínculo visitado" xfId="293" builtinId="9" hidden="1"/>
    <cellStyle name="Hipervínculo visitado" xfId="781" builtinId="9" hidden="1"/>
    <cellStyle name="Hipervínculo visitado" xfId="11" builtinId="9" hidden="1"/>
    <cellStyle name="Hipervínculo visitado" xfId="221" builtinId="9" hidden="1"/>
    <cellStyle name="Hipervínculo visitado" xfId="807" builtinId="9" hidden="1"/>
    <cellStyle name="Hipervínculo visitado" xfId="677" builtinId="9" hidden="1"/>
    <cellStyle name="Hipervínculo visitado" xfId="857" builtinId="9" hidden="1"/>
    <cellStyle name="Hipervínculo visitado" xfId="153" builtinId="9" hidden="1"/>
    <cellStyle name="Hipervínculo visitado" xfId="107" builtinId="9" hidden="1"/>
    <cellStyle name="Hipervínculo visitado" xfId="517" builtinId="9" hidden="1"/>
    <cellStyle name="Hipervínculo visitado" xfId="771" builtinId="9" hidden="1"/>
    <cellStyle name="Hipervínculo visitado" xfId="433" builtinId="9" hidden="1"/>
    <cellStyle name="Hipervínculo visitado" xfId="621" builtinId="9" hidden="1"/>
    <cellStyle name="Hipervínculo visitado" xfId="485" builtinId="9" hidden="1"/>
    <cellStyle name="Hipervínculo visitado" xfId="763" builtinId="9" hidden="1"/>
    <cellStyle name="Hipervínculo visitado" xfId="339" builtinId="9" hidden="1"/>
    <cellStyle name="Hipervínculo visitado" xfId="783" builtinId="9" hidden="1"/>
    <cellStyle name="Hipervínculo visitado" xfId="903" builtinId="9" hidden="1"/>
    <cellStyle name="Hipervínculo visitado" xfId="53" builtinId="9" hidden="1"/>
    <cellStyle name="Hipervínculo visitado" xfId="203" builtinId="9" hidden="1"/>
    <cellStyle name="Hipervínculo visitado" xfId="261" builtinId="9" hidden="1"/>
    <cellStyle name="Hipervínculo visitado" xfId="15" builtinId="9" hidden="1"/>
    <cellStyle name="Hipervínculo visitado" xfId="119" builtinId="9" hidden="1"/>
    <cellStyle name="Hipervínculo visitado" xfId="689" builtinId="9" hidden="1"/>
    <cellStyle name="Hipervínculo visitado" xfId="345" builtinId="9" hidden="1"/>
    <cellStyle name="Hipervínculo visitado" xfId="47" builtinId="9" hidden="1"/>
    <cellStyle name="Hipervínculo visitado" xfId="467" builtinId="9" hidden="1"/>
    <cellStyle name="Hipervínculo visitado" xfId="701" builtinId="9" hidden="1"/>
    <cellStyle name="Hipervínculo visitado" xfId="527" builtinId="9" hidden="1"/>
    <cellStyle name="Hipervínculo visitado" xfId="535" builtinId="9" hidden="1"/>
    <cellStyle name="Hipervínculo visitado" xfId="867" builtinId="9" hidden="1"/>
    <cellStyle name="Hipervínculo visitado" xfId="779" builtinId="9" hidden="1"/>
    <cellStyle name="Hipervínculo visitado" xfId="649" builtinId="9" hidden="1"/>
    <cellStyle name="Hipervínculo visitado" xfId="811" builtinId="9" hidden="1"/>
    <cellStyle name="Hipervínculo visitado" xfId="103" builtinId="9" hidden="1"/>
    <cellStyle name="Hipervínculo visitado" xfId="21" builtinId="9" hidden="1"/>
    <cellStyle name="Hipervínculo visitado" xfId="523" builtinId="9" hidden="1"/>
    <cellStyle name="Hipervínculo visitado" xfId="589" builtinId="9" hidden="1"/>
    <cellStyle name="Hipervínculo visitado" xfId="451" builtinId="9" hidden="1"/>
    <cellStyle name="Hipervínculo visitado" xfId="845" builtinId="9" hidden="1"/>
    <cellStyle name="Hipervínculo visitado" xfId="577" builtinId="9" hidden="1"/>
    <cellStyle name="Hipervínculo visitado" xfId="491" builtinId="9" hidden="1"/>
    <cellStyle name="Hipervínculo visitado" xfId="869" builtinId="9" hidden="1"/>
    <cellStyle name="Hipervínculo visitado" xfId="19" builtinId="9" hidden="1"/>
    <cellStyle name="Hipervínculo visitado" xfId="895" builtinId="9" hidden="1"/>
    <cellStyle name="Hipervínculo visitado" xfId="33" builtinId="9" hidden="1"/>
    <cellStyle name="Hipervínculo visitado" xfId="511" builtinId="9" hidden="1"/>
    <cellStyle name="Hipervínculo visitado" xfId="421" builtinId="9" hidden="1"/>
    <cellStyle name="Hipervínculo visitado" xfId="565" builtinId="9" hidden="1"/>
    <cellStyle name="Hipervínculo visitado" xfId="251" builtinId="9" hidden="1"/>
    <cellStyle name="Hipervínculo visitado" xfId="347" builtinId="9" hidden="1"/>
    <cellStyle name="Hipervínculo visitado" xfId="751" builtinId="9" hidden="1"/>
    <cellStyle name="Hipervínculo visitado" xfId="191" builtinId="9" hidden="1"/>
    <cellStyle name="Hipervínculo visitado" xfId="57" builtinId="9" hidden="1"/>
    <cellStyle name="Hipervínculo visitado" xfId="439" builtinId="9" hidden="1"/>
    <cellStyle name="Hipervínculo visitado" xfId="667" builtinId="9" hidden="1"/>
    <cellStyle name="Hipervínculo visitado" xfId="825" builtinId="9" hidden="1"/>
    <cellStyle name="Hipervínculo visitado" xfId="55" builtinId="9" hidden="1"/>
    <cellStyle name="Hipervínculo visitado" xfId="163" builtinId="9" hidden="1"/>
    <cellStyle name="Hipervínculo visitado" xfId="165" builtinId="9" hidden="1"/>
    <cellStyle name="Hipervínculo visitado" xfId="207" builtinId="9" hidden="1"/>
    <cellStyle name="Hipervínculo visitado" xfId="279" builtinId="9" hidden="1"/>
    <cellStyle name="Hipervínculo visitado" xfId="575" builtinId="9" hidden="1"/>
    <cellStyle name="Hipervínculo visitado" xfId="813" builtinId="9" hidden="1"/>
    <cellStyle name="Hipervínculo visitado" xfId="267" builtinId="9" hidden="1"/>
    <cellStyle name="Hipervínculo visitado" xfId="453" builtinId="9" hidden="1"/>
    <cellStyle name="Hipervínculo visitado" xfId="599" builtinId="9" hidden="1"/>
    <cellStyle name="Hipervínculo visitado" xfId="187" builtinId="9" hidden="1"/>
    <cellStyle name="Hipervínculo visitado" xfId="809" builtinId="9" hidden="1"/>
    <cellStyle name="Hipervínculo visitado" xfId="373" builtinId="9" hidden="1"/>
    <cellStyle name="Hipervínculo visitado" xfId="653" builtinId="9" hidden="1"/>
    <cellStyle name="Hipervínculo visitado" xfId="287" builtinId="9" hidden="1"/>
    <cellStyle name="Hipervínculo visitado" xfId="823" builtinId="9" hidden="1"/>
    <cellStyle name="Hipervínculo visitado" xfId="561" builtinId="9" hidden="1"/>
    <cellStyle name="Hipervínculo visitado" xfId="493" builtinId="9" hidden="1"/>
    <cellStyle name="Hipervínculo visitado" xfId="791" builtinId="9" hidden="1"/>
    <cellStyle name="Hipervínculo visitado" xfId="749" builtinId="9" hidden="1"/>
    <cellStyle name="Hipervínculo visitado" xfId="873" builtinId="9" hidden="1"/>
    <cellStyle name="Hipervínculo visitado" xfId="503" builtinId="9" hidden="1"/>
    <cellStyle name="Hipervínculo visitado" xfId="319" builtinId="9" hidden="1"/>
    <cellStyle name="Hipervínculo visitado" xfId="721" builtinId="9" hidden="1"/>
    <cellStyle name="Hipervínculo visitado" xfId="351" builtinId="9" hidden="1"/>
    <cellStyle name="Hipervínculo visitado" xfId="717" builtinId="9" hidden="1"/>
    <cellStyle name="Hipervínculo visitado" xfId="879" builtinId="9" hidden="1"/>
    <cellStyle name="Hipervínculo visitado" xfId="359" builtinId="9" hidden="1"/>
    <cellStyle name="Hipervínculo visitado" xfId="499" builtinId="9" hidden="1"/>
    <cellStyle name="Hipervínculo visitado" xfId="843" builtinId="9" hidden="1"/>
    <cellStyle name="Hipervínculo visitado" xfId="211" builtinId="9" hidden="1"/>
    <cellStyle name="Hipervínculo visitado" xfId="855" builtinId="9" hidden="1"/>
    <cellStyle name="Hipervínculo visitado" xfId="475" builtinId="9" hidden="1"/>
    <cellStyle name="Hipervínculo visitado" xfId="553" builtinId="9" hidden="1"/>
    <cellStyle name="Hipervínculo visitado" xfId="573" builtinId="9" hidden="1"/>
    <cellStyle name="Hipervínculo visitado" xfId="405" builtinId="9" hidden="1"/>
    <cellStyle name="Hipervínculo visitado" xfId="797" builtinId="9" hidden="1"/>
    <cellStyle name="Hipervínculo visitado" xfId="171" builtinId="9" hidden="1"/>
    <cellStyle name="Hipervínculo visitado" xfId="495" builtinId="9" hidden="1"/>
    <cellStyle name="Hipervínculo visitado" xfId="543" builtinId="9" hidden="1"/>
    <cellStyle name="Hipervínculo visitado" xfId="761" builtinId="9" hidden="1"/>
    <cellStyle name="Hipervínculo visitado" xfId="457" builtinId="9" hidden="1"/>
    <cellStyle name="Hipervínculo visitado" xfId="123" builtinId="9" hidden="1"/>
    <cellStyle name="Hipervínculo visitado" xfId="837" builtinId="9" hidden="1"/>
    <cellStyle name="Hipervínculo visitado" xfId="219" builtinId="9" hidden="1"/>
    <cellStyle name="Hipervínculo visitado" xfId="141" builtinId="9" hidden="1"/>
    <cellStyle name="Hipervínculo visitado" xfId="629" builtinId="9" hidden="1"/>
    <cellStyle name="Hipervínculo visitado" xfId="785" builtinId="9" hidden="1"/>
    <cellStyle name="Hipervínculo visitado" xfId="627" builtinId="9" hidden="1"/>
    <cellStyle name="Hipervínculo visitado" xfId="665" builtinId="9" hidden="1"/>
    <cellStyle name="Hipervínculo visitado" xfId="711" builtinId="9" hidden="1"/>
    <cellStyle name="Hipervínculo visitado" xfId="185" builtinId="9" hidden="1"/>
    <cellStyle name="Hipervínculo visitado" xfId="39" builtinId="9" hidden="1"/>
    <cellStyle name="Hipervínculo visitado" xfId="99" builtinId="9" hidden="1"/>
    <cellStyle name="Hipervínculo visitado" xfId="175" builtinId="9" hidden="1"/>
    <cellStyle name="Hipervínculo visitado" xfId="435" builtinId="9" hidden="1"/>
    <cellStyle name="Hipervínculo visitado" xfId="479" builtinId="9" hidden="1"/>
    <cellStyle name="Hipervínculo visitado" xfId="349" builtinId="9" hidden="1"/>
    <cellStyle name="Hipervínculo visitado" xfId="117" builtinId="9" hidden="1"/>
    <cellStyle name="Hipervínculo visitado" xfId="157" builtinId="9" hidden="1"/>
    <cellStyle name="Hipervínculo visitado" xfId="579" builtinId="9" hidden="1"/>
    <cellStyle name="Hipervínculo visitado" xfId="821" builtinId="9" hidden="1"/>
    <cellStyle name="Hipervínculo visitado" xfId="303" builtinId="9" hidden="1"/>
    <cellStyle name="Hipervínculo visitado" xfId="29" builtinId="9" hidden="1"/>
    <cellStyle name="Hipervínculo visitado" xfId="231" builtinId="9" hidden="1"/>
    <cellStyle name="Hipervínculo visitado" xfId="769" builtinId="9" hidden="1"/>
    <cellStyle name="Hipervínculo visitado" xfId="243" builtinId="9" hidden="1"/>
    <cellStyle name="Hipervínculo visitado" xfId="265" builtinId="9" hidden="1"/>
    <cellStyle name="Hipervínculo visitado" xfId="69" builtinId="9" hidden="1"/>
    <cellStyle name="Hipervínculo visitado" xfId="731" builtinId="9" hidden="1"/>
    <cellStyle name="Hipervínculo visitado" xfId="455" builtinId="9" hidden="1"/>
    <cellStyle name="Hipervínculo visitado" xfId="315" builtinId="9" hidden="1"/>
    <cellStyle name="Hipervínculo visitado" xfId="707" builtinId="9" hidden="1"/>
    <cellStyle name="Hipervínculo visitado" xfId="465" builtinId="9" hidden="1"/>
    <cellStyle name="Hipervínculo visitado" xfId="773" builtinId="9" hidden="1"/>
    <cellStyle name="Hipervínculo visitado" xfId="747" builtinId="9" hidden="1"/>
    <cellStyle name="Hipervínculo visitado" xfId="637" builtinId="9" hidden="1"/>
    <cellStyle name="Hipervínculo visitado" xfId="513" builtinId="9" hidden="1"/>
    <cellStyle name="Hipervínculo visitado" xfId="193" builtinId="9" hidden="1"/>
    <cellStyle name="Hipervínculo visitado" xfId="557" builtinId="9" hidden="1"/>
    <cellStyle name="Hipervínculo visitado" xfId="831" builtinId="9" hidden="1"/>
    <cellStyle name="Hipervínculo visitado" xfId="245" builtinId="9" hidden="1"/>
    <cellStyle name="Hipervínculo visitado" xfId="545" builtinId="9" hidden="1"/>
    <cellStyle name="Hipervínculo visitado" xfId="827" builtinId="9" hidden="1"/>
    <cellStyle name="Hipervínculo visitado" xfId="877" builtinId="9" hidden="1"/>
    <cellStyle name="Hipervínculo visitado" xfId="325" builtinId="9" hidden="1"/>
    <cellStyle name="Hipervínculo visitado" xfId="227" builtinId="9" hidden="1"/>
    <cellStyle name="Hipervínculo visitado" xfId="687" builtinId="9" hidden="1"/>
    <cellStyle name="Hipervínculo visitado" xfId="881" builtinId="9" hidden="1"/>
    <cellStyle name="Hipervínculo visitado" xfId="113" builtinId="9" hidden="1"/>
    <cellStyle name="Hipervínculo visitado" xfId="387" builtinId="9" hidden="1"/>
    <cellStyle name="Hipervínculo visitado" xfId="415" builtinId="9" hidden="1"/>
    <cellStyle name="Hipervínculo visitado" xfId="859" builtinId="9" hidden="1"/>
    <cellStyle name="Hipervínculo visitado" xfId="861" builtinId="9" hidden="1"/>
    <cellStyle name="Hipervínculo visitado" xfId="483" builtinId="9" hidden="1"/>
    <cellStyle name="Hipervínculo visitado" xfId="299" builtinId="9" hidden="1"/>
    <cellStyle name="Hipervínculo visitado" xfId="297" builtinId="9" hidden="1"/>
    <cellStyle name="Hipervínculo visitado" xfId="583" builtinId="9" hidden="1"/>
    <cellStyle name="Hipervínculo visitado" xfId="841" builtinId="9" hidden="1"/>
    <cellStyle name="Hipervínculo visitado" xfId="871" builtinId="9" hidden="1"/>
    <cellStyle name="Hipervínculo visitado" xfId="671" builtinId="9" hidden="1"/>
    <cellStyle name="Hipervínculo visitado" xfId="307" builtinId="9" hidden="1"/>
    <cellStyle name="Hipervínculo visitado" xfId="567" builtinId="9" hidden="1"/>
    <cellStyle name="Hipervínculo visitado" xfId="91" builtinId="9" hidden="1"/>
    <cellStyle name="Hipervínculo visitado" xfId="775" builtinId="9" hidden="1"/>
    <cellStyle name="Hipervínculo visitado" xfId="889" builtinId="9" hidden="1"/>
    <cellStyle name="Hipervínculo visitado" xfId="597" builtinId="9" hidden="1"/>
    <cellStyle name="Hipervínculo visitado" xfId="151" builtinId="9" hidden="1"/>
    <cellStyle name="Hipervínculo visitado" xfId="755" builtinId="9" hidden="1"/>
    <cellStyle name="Hipervínculo visitado" xfId="147" builtinId="9" hidden="1"/>
    <cellStyle name="Hipervínculo visitado" xfId="85" builtinId="9" hidden="1"/>
    <cellStyle name="Hipervínculo visitado" xfId="551" builtinId="9" hidden="1"/>
    <cellStyle name="Hipervínculo visitado" xfId="25" builtinId="9" hidden="1"/>
    <cellStyle name="Hipervínculo visitado" xfId="355" builtinId="9" hidden="1"/>
    <cellStyle name="Hipervínculo visitado" xfId="247" builtinId="9" hidden="1"/>
    <cellStyle name="Hipervínculo visitado" xfId="167" builtinId="9" hidden="1"/>
    <cellStyle name="Hipervínculo visitado" xfId="419" builtinId="9" hidden="1"/>
    <cellStyle name="Hipervínculo visitado" xfId="801" builtinId="9" hidden="1"/>
    <cellStyle name="Hipervínculo visitado" xfId="703" builtinId="9" hidden="1"/>
    <cellStyle name="Hipervínculo visitado" xfId="417" builtinId="9" hidden="1"/>
    <cellStyle name="Hipervínculo visitado" xfId="223" builtinId="9" hidden="1"/>
    <cellStyle name="Hipervínculo visitado" xfId="361" builtinId="9" hidden="1"/>
    <cellStyle name="Hipervínculo visitado" xfId="161" builtinId="9" hidden="1"/>
    <cellStyle name="Hipervínculo visitado" xfId="691" builtinId="9" hidden="1"/>
    <cellStyle name="Hipervínculo visitado" xfId="281" builtinId="9" hidden="1"/>
    <cellStyle name="Hipervínculo visitado" xfId="71" builtinId="9" hidden="1"/>
    <cellStyle name="Hipervínculo visitado" xfId="875" builtinId="9" hidden="1"/>
    <cellStyle name="Hipervínculo visitado" xfId="357" builtinId="9" hidden="1"/>
    <cellStyle name="Hipervínculo visitado" xfId="647" builtinId="9" hidden="1"/>
    <cellStyle name="Hipervínculo visitado" xfId="301" builtinId="9" hidden="1"/>
    <cellStyle name="Hipervínculo visitado" xfId="285" builtinId="9" hidden="1"/>
    <cellStyle name="Hipervínculo visitado" xfId="563" builtinId="9" hidden="1"/>
    <cellStyle name="Hipervínculo visitado" xfId="727" builtinId="9" hidden="1"/>
    <cellStyle name="Hipervínculo visitado" xfId="587" builtinId="9" hidden="1"/>
    <cellStyle name="Hipervínculo visitado" xfId="865" builtinId="9" hidden="1"/>
    <cellStyle name="Hipervínculo visitado" xfId="555" builtinId="9" hidden="1"/>
    <cellStyle name="Hipervínculo visitado" xfId="789" builtinId="9" hidden="1"/>
    <cellStyle name="Hipervínculo visitado" xfId="179" builtinId="9" hidden="1"/>
    <cellStyle name="Hipervínculo visitado" xfId="683" builtinId="9" hidden="1"/>
    <cellStyle name="Hipervínculo visitado" xfId="793" builtinId="9" hidden="1"/>
    <cellStyle name="Hipervínculo visitado" xfId="471" builtinId="9" hidden="1"/>
    <cellStyle name="Hipervínculo visitado" xfId="389" builtinId="9" hidden="1"/>
    <cellStyle name="Hipervínculo visitado" xfId="61" builtinId="9" hidden="1"/>
    <cellStyle name="Hipervínculo visitado" xfId="463" builtinId="9" hidden="1"/>
    <cellStyle name="Hipervínculo visitado" xfId="17" builtinId="9" hidden="1"/>
    <cellStyle name="Hipervínculo visitado" xfId="445" builtinId="9" hidden="1"/>
    <cellStyle name="Hipervínculo visitado" xfId="341" builtinId="9" hidden="1"/>
    <cellStyle name="Hipervínculo visitado" xfId="205" builtinId="9" hidden="1"/>
    <cellStyle name="Hipervínculo visitado" xfId="403" builtinId="9" hidden="1"/>
    <cellStyle name="Hipervínculo visitado" xfId="249" builtinId="9" hidden="1"/>
    <cellStyle name="Hipervínculo visitado" xfId="835" builtinId="9" hidden="1"/>
    <cellStyle name="Hipervínculo visitado" xfId="803" builtinId="9" hidden="1"/>
    <cellStyle name="Hipervínculo visitado" xfId="155" builtinId="9" hidden="1"/>
    <cellStyle name="Hipervínculo visitado" xfId="131" builtinId="9" hidden="1"/>
    <cellStyle name="Hipervínculo visitado" xfId="125" builtinId="9" hidden="1"/>
    <cellStyle name="Hipervínculo visitado" xfId="899" builtinId="9" hidden="1"/>
    <cellStyle name="Hipervínculo visitado" xfId="199" builtinId="9" hidden="1"/>
    <cellStyle name="Hipervínculo visitado" xfId="655" builtinId="9" hidden="1"/>
    <cellStyle name="Hipervínculo visitado" xfId="291" builtinId="9" hidden="1"/>
    <cellStyle name="Hipervínculo visitado" xfId="37" builtinId="9" hidden="1"/>
    <cellStyle name="Hipervínculo visitado" xfId="817" builtinId="9" hidden="1"/>
    <cellStyle name="Hipervínculo visitado" xfId="431" builtinId="9" hidden="1"/>
    <cellStyle name="Hipervínculo visitado" xfId="317" builtinId="9" hidden="1"/>
    <cellStyle name="Hipervínculo visitado" xfId="507" builtinId="9" hidden="1"/>
    <cellStyle name="Hipervínculo visitado" xfId="343" builtinId="9" hidden="1"/>
    <cellStyle name="Hipervínculo visitado" xfId="459" builtinId="9" hidden="1"/>
    <cellStyle name="Hipervínculo visitado" xfId="619" builtinId="9" hidden="1"/>
    <cellStyle name="Hipervínculo visitado" xfId="367" builtinId="9" hidden="1"/>
    <cellStyle name="Hipervínculo visitado" xfId="547" builtinId="9" hidden="1"/>
    <cellStyle name="Hipervínculo visitado" xfId="469" builtinId="9" hidden="1"/>
    <cellStyle name="Hipervínculo visitado" xfId="375" builtinId="9" hidden="1"/>
    <cellStyle name="Hipervínculo visitado" xfId="625" builtinId="9" hidden="1"/>
    <cellStyle name="Hipervínculo visitado" xfId="295" builtinId="9" hidden="1"/>
    <cellStyle name="Hipervínculo visitado" xfId="63" builtinId="9" hidden="1"/>
    <cellStyle name="Hipervínculo visitado" xfId="23" builtinId="9" hidden="1"/>
    <cellStyle name="Hipervínculo visitado" xfId="177" builtinId="9" hidden="1"/>
    <cellStyle name="Hipervínculo visitado" xfId="217" builtinId="9" hidden="1"/>
    <cellStyle name="Hipervínculo visitado" xfId="209" builtinId="9" hidden="1"/>
    <cellStyle name="Hipervínculo visitado" xfId="847" builtinId="9" hidden="1"/>
    <cellStyle name="Hipervínculo visitado" xfId="97" builtinId="9" hidden="1"/>
    <cellStyle name="Hipervínculo visitado" xfId="305" builtinId="9" hidden="1"/>
    <cellStyle name="Hipervínculo visitado" xfId="35" builtinId="9" hidden="1"/>
    <cellStyle name="Hipervínculo visitado" xfId="275" builtinId="9" hidden="1"/>
    <cellStyle name="Hipervínculo visitado" xfId="735" builtinId="9" hidden="1"/>
    <cellStyle name="Hipervínculo visitado" xfId="109" builtinId="9" hidden="1"/>
    <cellStyle name="Hipervínculo visitado" xfId="441" builtinId="9" hidden="1"/>
    <cellStyle name="Hipervínculo visitado" xfId="477" builtinId="9" hidden="1"/>
    <cellStyle name="Hipervínculo visitado" xfId="259" builtinId="9" hidden="1"/>
    <cellStyle name="Hipervínculo visitado" xfId="409" builtinId="9" hidden="1"/>
    <cellStyle name="Hipervínculo visitado" xfId="601" builtinId="9" hidden="1"/>
    <cellStyle name="Hipervínculo visitado" xfId="401" builtinId="9" hidden="1"/>
    <cellStyle name="Hipervínculo visitado" xfId="6" builtinId="9" hidden="1"/>
    <cellStyle name="Hipervínculo visitado" xfId="311" builtinId="9" hidden="1"/>
    <cellStyle name="Hipervínculo visitado" xfId="9" builtinId="9" hidden="1"/>
    <cellStyle name="Hipervínculo visitado" xfId="331" builtinId="9" hidden="1"/>
    <cellStyle name="Hipervínculo visitado" xfId="183" builtinId="9" hidden="1"/>
    <cellStyle name="Hipervínculo visitado" xfId="321" builtinId="9" hidden="1"/>
    <cellStyle name="Hipervínculo visitado" xfId="239" builtinId="9" hidden="1"/>
    <cellStyle name="Hipervínculo visitado" xfId="93" builtinId="9" hidden="1"/>
    <cellStyle name="Hipervínculo visitado" xfId="413" builtinId="9" hidden="1"/>
    <cellStyle name="Hipervínculo visitado" xfId="411" builtinId="9" hidden="1"/>
    <cellStyle name="Hipervínculo visitado" xfId="609" builtinId="9" hidden="1"/>
    <cellStyle name="Hipervínculo visitado" xfId="497" builtinId="9" hidden="1"/>
    <cellStyle name="Hipervínculo visitado" xfId="27" builtinId="9" hidden="1"/>
    <cellStyle name="Hipervínculo visitado" xfId="427" builtinId="9" hidden="1"/>
    <cellStyle name="Hipervínculo visitado" xfId="235" builtinId="9" hidden="1"/>
    <cellStyle name="Hipervínculo visitado" xfId="449" builtinId="9" hidden="1"/>
    <cellStyle name="Hipervínculo visitado" xfId="49" builtinId="9" hidden="1"/>
    <cellStyle name="Hipervínculo visitado" xfId="89" builtinId="9" hidden="1"/>
    <cellStyle name="Hipervínculo visitado" xfId="645" builtinId="9" hidden="1"/>
    <cellStyle name="Hipervínculo visitado" xfId="13" builtinId="9" hidden="1"/>
    <cellStyle name="Hipervínculo visitado" xfId="145" builtinId="9" hidden="1"/>
    <cellStyle name="Hipervínculo visitado" xfId="429" builtinId="9" hidden="1"/>
    <cellStyle name="Hipervínculo visitado" xfId="437" builtinId="9" hidden="1"/>
    <cellStyle name="Hipervínculo visitado" xfId="635" builtinId="9" hidden="1"/>
    <cellStyle name="Hipervínculo visitado" xfId="443" builtinId="9" hidden="1"/>
    <cellStyle name="Hipervínculo visitado" xfId="617" builtinId="9" hidden="1"/>
    <cellStyle name="Hipervínculo visitado" xfId="51" builtinId="9" hidden="1"/>
    <cellStyle name="Hipervínculo visitado" xfId="613" builtinId="9" hidden="1"/>
    <cellStyle name="Hipervínculo visitado" xfId="423" builtinId="9" hidden="1"/>
    <cellStyle name="Hipervínculo visitado" xfId="229" builtinId="9" hidden="1"/>
    <cellStyle name="Hipervínculo visitado" xfId="195" builtinId="9" hidden="1"/>
    <cellStyle name="Hipervínculo visitado" xfId="181" builtinId="9" hidden="1"/>
    <cellStyle name="Hipervínculo visitado" xfId="509" builtinId="9" hidden="1"/>
    <cellStyle name="Hipervínculo visitado" xfId="759" builtinId="9" hidden="1"/>
    <cellStyle name="Hipervínculo visitado" xfId="263" builtinId="9" hidden="1"/>
    <cellStyle name="Hipervínculo visitado" xfId="95" builtinId="9" hidden="1"/>
    <cellStyle name="Hipervínculo visitado" xfId="105" builtinId="9" hidden="1"/>
    <cellStyle name="Hipervínculo visitado" xfId="257" builtinId="9" hidden="1"/>
    <cellStyle name="Hipervínculo visitado" xfId="539" builtinId="9" hidden="1"/>
    <cellStyle name="Hipervínculo visitado" xfId="833" builtinId="9" hidden="1"/>
    <cellStyle name="Hipervínculo visitado" xfId="213" builtinId="9" hidden="1"/>
    <cellStyle name="Hipervínculo visitado" xfId="693" builtinId="9" hidden="1"/>
    <cellStyle name="Hipervínculo visitado" xfId="447" builtinId="9" hidden="1"/>
    <cellStyle name="Hipervínculo visitado" xfId="353" builtinId="9" hidden="1"/>
    <cellStyle name="Hipervínculo visitado" xfId="111" builtinId="9" hidden="1"/>
    <cellStyle name="Hipervínculo visitado" xfId="705" builtinId="9" hidden="1"/>
    <cellStyle name="Hipervínculo visitado" xfId="135" builtinId="9" hidden="1"/>
    <cellStyle name="Hipervínculo visitado" xfId="591" builtinId="9" hidden="1"/>
    <cellStyle name="Hipervínculo visitado" xfId="777" builtinId="9" hidden="1"/>
    <cellStyle name="Hipervínculo visitado" xfId="233" builtinId="9" hidden="1"/>
    <cellStyle name="Hipervínculo visitado" xfId="685" builtinId="9" hidden="1"/>
    <cellStyle name="Hipervínculo visitado" xfId="115" builtinId="9" hidden="1"/>
    <cellStyle name="Hipervínculo visitado" xfId="699" builtinId="9" hidden="1"/>
    <cellStyle name="Hipervínculo visitado" xfId="323" builtinId="9" hidden="1"/>
    <cellStyle name="Millares 2" xfId="77" xr:uid="{00000000-0005-0000-0000-00007E030000}"/>
    <cellStyle name="Moneda [0] 2" xfId="76" xr:uid="{00000000-0005-0000-0000-00007F030000}"/>
    <cellStyle name="Normal" xfId="0" builtinId="0"/>
    <cellStyle name="Normal 2" xfId="7" xr:uid="{00000000-0005-0000-0000-000081030000}"/>
    <cellStyle name="Normal 3" xfId="82" xr:uid="{00000000-0005-0000-0000-000082030000}"/>
    <cellStyle name="Normal 3 2" xfId="904" xr:uid="{00000000-0005-0000-0000-000083030000}"/>
    <cellStyle name="Normal 4" xfId="81" xr:uid="{00000000-0005-0000-0000-000084030000}"/>
    <cellStyle name="Normal 5" xfId="78" xr:uid="{00000000-0005-0000-0000-000085030000}"/>
    <cellStyle name="Normal 6" xfId="79" xr:uid="{00000000-0005-0000-0000-000086030000}"/>
    <cellStyle name="Normal 7" xfId="80" xr:uid="{00000000-0005-0000-0000-000087030000}"/>
    <cellStyle name="Normal 8" xfId="83" xr:uid="{00000000-0005-0000-0000-000088030000}"/>
  </cellStyles>
  <dxfs count="0"/>
  <tableStyles count="0" defaultTableStyle="TableStyleMedium9" defaultPivotStyle="PivotStyleMedium4"/>
  <colors>
    <mruColors>
      <color rgb="FFFFFF99"/>
      <color rgb="FFFFFF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Entrega material vegetal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B6-47FD-8937-E7A56EC1B47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B6-47FD-8937-E7A56EC1B4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B6-47FD-8937-E7A56EC1B47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B6-47FD-8937-E7A56EC1B47A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B6-47FD-8937-E7A56EC1B47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B6-47FD-8937-E7A56EC1B47A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B6-47FD-8937-E7A56EC1B4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Consolidado!$A$1:$L$2</c:f>
              <c:multiLvlStrCache>
                <c:ptCount val="12"/>
                <c:lvl>
                  <c:pt idx="0">
                    <c:v>Meta</c:v>
                  </c:pt>
                  <c:pt idx="1">
                    <c:v>Entregados</c:v>
                  </c:pt>
                  <c:pt idx="2">
                    <c:v>Sembrados</c:v>
                  </c:pt>
                  <c:pt idx="3">
                    <c:v>Meta</c:v>
                  </c:pt>
                  <c:pt idx="4">
                    <c:v>Entregados</c:v>
                  </c:pt>
                  <c:pt idx="5">
                    <c:v>Sembrados</c:v>
                  </c:pt>
                  <c:pt idx="6">
                    <c:v>Meta</c:v>
                  </c:pt>
                  <c:pt idx="7">
                    <c:v>Entregados</c:v>
                  </c:pt>
                  <c:pt idx="8">
                    <c:v>Sembrados</c:v>
                  </c:pt>
                  <c:pt idx="9">
                    <c:v>Meta</c:v>
                  </c:pt>
                  <c:pt idx="10">
                    <c:v>Entregados</c:v>
                  </c:pt>
                  <c:pt idx="11">
                    <c:v>Sembrados</c:v>
                  </c:pt>
                </c:lvl>
                <c:lvl>
                  <c:pt idx="0">
                    <c:v>Colinos (piña y plátano)</c:v>
                  </c:pt>
                  <c:pt idx="3">
                    <c:v>Árboles de Cacao</c:v>
                  </c:pt>
                  <c:pt idx="6">
                    <c:v>Forestales (viveros comunitarios)</c:v>
                  </c:pt>
                  <c:pt idx="9">
                    <c:v>Frutales</c:v>
                  </c:pt>
                </c:lvl>
              </c:multiLvlStrCache>
            </c:multiLvlStrRef>
          </c:cat>
          <c:val>
            <c:numRef>
              <c:f>Consolidado!$A$3:$L$3</c:f>
              <c:numCache>
                <c:formatCode>#,##0</c:formatCode>
                <c:ptCount val="12"/>
                <c:pt idx="0">
                  <c:v>58645</c:v>
                </c:pt>
                <c:pt idx="1">
                  <c:v>48645</c:v>
                </c:pt>
                <c:pt idx="2">
                  <c:v>48645</c:v>
                </c:pt>
                <c:pt idx="3">
                  <c:v>11810</c:v>
                </c:pt>
                <c:pt idx="4">
                  <c:v>11418</c:v>
                </c:pt>
                <c:pt idx="5">
                  <c:v>11418</c:v>
                </c:pt>
                <c:pt idx="6">
                  <c:v>144833</c:v>
                </c:pt>
                <c:pt idx="7">
                  <c:v>137795</c:v>
                </c:pt>
                <c:pt idx="8">
                  <c:v>137795</c:v>
                </c:pt>
                <c:pt idx="9">
                  <c:v>8889</c:v>
                </c:pt>
                <c:pt idx="10">
                  <c:v>8054</c:v>
                </c:pt>
                <c:pt idx="11">
                  <c:v>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B6-47FD-8937-E7A56EC1B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94895"/>
        <c:axId val="431894479"/>
      </c:barChart>
      <c:catAx>
        <c:axId val="43189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479"/>
        <c:crosses val="autoZero"/>
        <c:auto val="1"/>
        <c:lblAlgn val="ctr"/>
        <c:lblOffset val="100"/>
        <c:noMultiLvlLbl val="0"/>
      </c:catAx>
      <c:valAx>
        <c:axId val="43189447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Fuentes</a:t>
            </a:r>
            <a:r>
              <a:rPr lang="es-CO" b="1" baseline="0"/>
              <a:t> hidrícas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D7-4245-876D-86C8527275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D7-4245-876D-86C8527275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Consolidado!$N$1:$Q$2</c:f>
              <c:multiLvlStrCache>
                <c:ptCount val="4"/>
                <c:lvl>
                  <c:pt idx="0">
                    <c:v>Meta </c:v>
                  </c:pt>
                  <c:pt idx="1">
                    <c:v>Avance</c:v>
                  </c:pt>
                  <c:pt idx="2">
                    <c:v>Meta</c:v>
                  </c:pt>
                  <c:pt idx="3">
                    <c:v>Avance</c:v>
                  </c:pt>
                </c:lvl>
                <c:lvl>
                  <c:pt idx="0">
                    <c:v>Área de nacimiento aislar (ha)</c:v>
                  </c:pt>
                  <c:pt idx="2">
                    <c:v>Área de fuente hídrica a aislar</c:v>
                  </c:pt>
                </c:lvl>
              </c:multiLvlStrCache>
            </c:multiLvlStrRef>
          </c:cat>
          <c:val>
            <c:numRef>
              <c:f>Consolidado!$N$3:$Q$3</c:f>
              <c:numCache>
                <c:formatCode>#,##0.00</c:formatCode>
                <c:ptCount val="4"/>
                <c:pt idx="0">
                  <c:v>4.08</c:v>
                </c:pt>
                <c:pt idx="1">
                  <c:v>4.0750000000000002</c:v>
                </c:pt>
                <c:pt idx="2">
                  <c:v>56.550000000000018</c:v>
                </c:pt>
                <c:pt idx="3">
                  <c:v>65.099999999999994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7-4245-876D-86C852727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94895"/>
        <c:axId val="431894479"/>
      </c:barChart>
      <c:catAx>
        <c:axId val="43189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479"/>
        <c:crosses val="autoZero"/>
        <c:auto val="1"/>
        <c:lblAlgn val="ctr"/>
        <c:lblOffset val="100"/>
        <c:noMultiLvlLbl val="0"/>
      </c:catAx>
      <c:valAx>
        <c:axId val="431894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Agroforestería</a:t>
            </a:r>
          </a:p>
        </c:rich>
      </c:tx>
      <c:layout>
        <c:manualLayout>
          <c:xMode val="edge"/>
          <c:yMode val="edge"/>
          <c:x val="0.335534558180227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E-4738-8D60-2CF36DD31C7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E-4738-8D60-2CF36DD31C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Consolidado!$S$1:$X$2</c:f>
              <c:multiLvlStrCache>
                <c:ptCount val="6"/>
                <c:lvl>
                  <c:pt idx="0">
                    <c:v>Meta </c:v>
                  </c:pt>
                  <c:pt idx="1">
                    <c:v>Avance</c:v>
                  </c:pt>
                  <c:pt idx="2">
                    <c:v>Meta </c:v>
                  </c:pt>
                  <c:pt idx="3">
                    <c:v>Avance</c:v>
                  </c:pt>
                  <c:pt idx="4">
                    <c:v>Meta </c:v>
                  </c:pt>
                  <c:pt idx="5">
                    <c:v>Avance</c:v>
                  </c:pt>
                </c:lvl>
                <c:lvl>
                  <c:pt idx="0">
                    <c:v>Sistemas silvopastoriles</c:v>
                  </c:pt>
                  <c:pt idx="2">
                    <c:v>Implementación de SAF</c:v>
                  </c:pt>
                  <c:pt idx="4">
                    <c:v>Enriquecimiento de SAF </c:v>
                  </c:pt>
                </c:lvl>
              </c:multiLvlStrCache>
            </c:multiLvlStrRef>
          </c:cat>
          <c:val>
            <c:numRef>
              <c:f>Consolidado!$S$3:$X$3</c:f>
              <c:numCache>
                <c:formatCode>#,##0.00</c:formatCode>
                <c:ptCount val="6"/>
                <c:pt idx="0">
                  <c:v>509.89999999999986</c:v>
                </c:pt>
                <c:pt idx="1">
                  <c:v>541.45000000000005</c:v>
                </c:pt>
                <c:pt idx="2">
                  <c:v>146.85999999999996</c:v>
                </c:pt>
                <c:pt idx="3">
                  <c:v>158.31000000000003</c:v>
                </c:pt>
                <c:pt idx="4">
                  <c:v>4.5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E-4738-8D60-2CF36DD31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94895"/>
        <c:axId val="431894479"/>
      </c:barChart>
      <c:catAx>
        <c:axId val="43189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479"/>
        <c:crosses val="autoZero"/>
        <c:auto val="1"/>
        <c:lblAlgn val="ctr"/>
        <c:lblOffset val="100"/>
        <c:noMultiLvlLbl val="0"/>
      </c:catAx>
      <c:valAx>
        <c:axId val="431894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Corredores de conectividad, enriquecimientos y restauración áreas degradadas</a:t>
            </a:r>
          </a:p>
        </c:rich>
      </c:tx>
      <c:layout>
        <c:manualLayout>
          <c:xMode val="edge"/>
          <c:yMode val="edge"/>
          <c:x val="0.13639680904144794"/>
          <c:y val="4.61154513888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BE-4E45-8A31-A059CEE8017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BE-4E45-8A31-A059CEE80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Consolidado!$AJ$1:$AQ$2</c:f>
              <c:multiLvlStrCache>
                <c:ptCount val="8"/>
                <c:lvl>
                  <c:pt idx="0">
                    <c:v>Meta </c:v>
                  </c:pt>
                  <c:pt idx="1">
                    <c:v>Avance</c:v>
                  </c:pt>
                  <c:pt idx="2">
                    <c:v>Meta</c:v>
                  </c:pt>
                  <c:pt idx="3">
                    <c:v>Avance</c:v>
                  </c:pt>
                  <c:pt idx="4">
                    <c:v>Meta</c:v>
                  </c:pt>
                  <c:pt idx="5">
                    <c:v>Avance</c:v>
                  </c:pt>
                  <c:pt idx="6">
                    <c:v>Meta</c:v>
                  </c:pt>
                  <c:pt idx="7">
                    <c:v>Avance</c:v>
                  </c:pt>
                </c:lvl>
                <c:lvl>
                  <c:pt idx="0">
                    <c:v>Corredor de Conectividad</c:v>
                  </c:pt>
                  <c:pt idx="2">
                    <c:v>Enriquecimiento Rastrojo </c:v>
                  </c:pt>
                  <c:pt idx="4">
                    <c:v>Enriquecimiento de Bosque </c:v>
                  </c:pt>
                  <c:pt idx="6">
                    <c:v>Restauración de área degradada</c:v>
                  </c:pt>
                </c:lvl>
              </c:multiLvlStrCache>
            </c:multiLvlStrRef>
          </c:cat>
          <c:val>
            <c:numRef>
              <c:f>Consolidado!$AJ$3:$AQ$3</c:f>
              <c:numCache>
                <c:formatCode>#,##0.00</c:formatCode>
                <c:ptCount val="8"/>
                <c:pt idx="0">
                  <c:v>5.49</c:v>
                </c:pt>
                <c:pt idx="1">
                  <c:v>5.4903999999999993</c:v>
                </c:pt>
                <c:pt idx="2">
                  <c:v>3.8</c:v>
                </c:pt>
                <c:pt idx="3">
                  <c:v>3.8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BE-4E45-8A31-A059CEE8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94895"/>
        <c:axId val="431894479"/>
      </c:barChart>
      <c:catAx>
        <c:axId val="4318948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479"/>
        <c:crosses val="autoZero"/>
        <c:auto val="1"/>
        <c:lblAlgn val="ctr"/>
        <c:lblOffset val="100"/>
        <c:noMultiLvlLbl val="0"/>
      </c:catAx>
      <c:valAx>
        <c:axId val="431894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Estrategias complementarias de restauración</a:t>
            </a:r>
          </a:p>
        </c:rich>
      </c:tx>
      <c:layout>
        <c:manualLayout>
          <c:xMode val="edge"/>
          <c:yMode val="edge"/>
          <c:x val="0.22472173403632106"/>
          <c:y val="2.777787185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28-49B2-8FB0-51D65AC48DD6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28-49B2-8FB0-51D65AC48DD6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28-49B2-8FB0-51D65AC48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Consolidado!$AS$1:$AZ$2</c:f>
              <c:multiLvlStrCache>
                <c:ptCount val="8"/>
                <c:lvl>
                  <c:pt idx="0">
                    <c:v>Meta</c:v>
                  </c:pt>
                  <c:pt idx="1">
                    <c:v>Avance</c:v>
                  </c:pt>
                  <c:pt idx="2">
                    <c:v>Meta </c:v>
                  </c:pt>
                  <c:pt idx="3">
                    <c:v>Avance</c:v>
                  </c:pt>
                  <c:pt idx="4">
                    <c:v>Meta </c:v>
                  </c:pt>
                  <c:pt idx="5">
                    <c:v>Avance</c:v>
                  </c:pt>
                  <c:pt idx="6">
                    <c:v>Meta </c:v>
                  </c:pt>
                  <c:pt idx="7">
                    <c:v>Avance</c:v>
                  </c:pt>
                </c:lvl>
                <c:lvl>
                  <c:pt idx="0">
                    <c:v>Colmenas</c:v>
                  </c:pt>
                  <c:pt idx="2">
                    <c:v>Huertas sin cubierta </c:v>
                  </c:pt>
                  <c:pt idx="4">
                    <c:v>Huerta bajo cubierta </c:v>
                  </c:pt>
                  <c:pt idx="6">
                    <c:v>Fortalecimiento Gallinas Criollas</c:v>
                  </c:pt>
                </c:lvl>
              </c:multiLvlStrCache>
            </c:multiLvlStrRef>
          </c:cat>
          <c:val>
            <c:numRef>
              <c:f>Consolidado!$AS$3:$AZ$3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95</c:v>
                </c:pt>
                <c:pt idx="2">
                  <c:v>3</c:v>
                </c:pt>
                <c:pt idx="3">
                  <c:v>4</c:v>
                </c:pt>
                <c:pt idx="4">
                  <c:v>29</c:v>
                </c:pt>
                <c:pt idx="5">
                  <c:v>29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8-49B2-8FB0-51D65AC4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94895"/>
        <c:axId val="431894479"/>
      </c:barChart>
      <c:catAx>
        <c:axId val="43189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479"/>
        <c:crosses val="autoZero"/>
        <c:auto val="1"/>
        <c:lblAlgn val="ctr"/>
        <c:lblOffset val="100"/>
        <c:noMultiLvlLbl val="0"/>
      </c:catAx>
      <c:valAx>
        <c:axId val="4318944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18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4_2024!A1"/><Relationship Id="rId7" Type="http://schemas.openxmlformats.org/officeDocument/2006/relationships/image" Target="../media/image3.jpg"/><Relationship Id="rId2" Type="http://schemas.openxmlformats.org/officeDocument/2006/relationships/hyperlink" Target="#T1_2024!A1"/><Relationship Id="rId1" Type="http://schemas.openxmlformats.org/officeDocument/2006/relationships/hyperlink" Target="#T3_2024!A1"/><Relationship Id="rId6" Type="http://schemas.openxmlformats.org/officeDocument/2006/relationships/hyperlink" Target="#T2_2024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ERRAMIENTA_SEGUIMIENT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700088</xdr:colOff>
      <xdr:row>23</xdr:row>
      <xdr:rowOff>178594</xdr:rowOff>
    </xdr:from>
    <xdr:to>
      <xdr:col>5</xdr:col>
      <xdr:colOff>242887</xdr:colOff>
      <xdr:row>27</xdr:row>
      <xdr:rowOff>178594</xdr:rowOff>
    </xdr:to>
    <xdr:sp macro="" textlink="">
      <xdr:nvSpPr>
        <xdr:cNvPr id="2" name="Rectángulo redondead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0088" y="4722019"/>
          <a:ext cx="3686174" cy="800100"/>
        </a:xfrm>
        <a:prstGeom prst="roundRect">
          <a:avLst/>
        </a:prstGeom>
        <a:solidFill>
          <a:srgbClr val="92D05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1400" b="1">
              <a:solidFill>
                <a:schemeClr val="tx1"/>
              </a:solidFill>
              <a:latin typeface="+mn-lt"/>
              <a:ea typeface="+mn-ea"/>
              <a:cs typeface="+mn-cs"/>
            </a:rPr>
            <a:t>TRIMESTRE 3-2024</a:t>
          </a:r>
          <a:endParaRPr lang="en-US" sz="1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558006</xdr:colOff>
      <xdr:row>14</xdr:row>
      <xdr:rowOff>19050</xdr:rowOff>
    </xdr:from>
    <xdr:to>
      <xdr:col>5</xdr:col>
      <xdr:colOff>92868</xdr:colOff>
      <xdr:row>18</xdr:row>
      <xdr:rowOff>19050</xdr:rowOff>
    </xdr:to>
    <xdr:sp macro="" textlink="">
      <xdr:nvSpPr>
        <xdr:cNvPr id="3" name="Rectángulo redondead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8006" y="2781300"/>
          <a:ext cx="3702050" cy="809625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TRIMESTRE</a:t>
          </a:r>
          <a:r>
            <a:rPr lang="es-ES" sz="1400" b="1" baseline="0">
              <a:solidFill>
                <a:schemeClr val="tx1"/>
              </a:solidFill>
            </a:rPr>
            <a:t> 1-2024</a:t>
          </a:r>
          <a:endParaRPr lang="es-E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136525</xdr:colOff>
      <xdr:row>52</xdr:row>
      <xdr:rowOff>57150</xdr:rowOff>
    </xdr:from>
    <xdr:to>
      <xdr:col>8</xdr:col>
      <xdr:colOff>504825</xdr:colOff>
      <xdr:row>56</xdr:row>
      <xdr:rowOff>57150</xdr:rowOff>
    </xdr:to>
    <xdr:sp macro="" textlink="">
      <xdr:nvSpPr>
        <xdr:cNvPr id="4" name="Rectángulo redondeado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51225" y="10401300"/>
          <a:ext cx="3683000" cy="8001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ACOMPAÑAMIENTO TÉCNICO</a:t>
          </a:r>
        </a:p>
      </xdr:txBody>
    </xdr:sp>
    <xdr:clientData/>
  </xdr:twoCellAnchor>
  <xdr:twoCellAnchor>
    <xdr:from>
      <xdr:col>6</xdr:col>
      <xdr:colOff>723899</xdr:colOff>
      <xdr:row>24</xdr:row>
      <xdr:rowOff>24607</xdr:rowOff>
    </xdr:from>
    <xdr:to>
      <xdr:col>11</xdr:col>
      <xdr:colOff>266699</xdr:colOff>
      <xdr:row>28</xdr:row>
      <xdr:rowOff>24607</xdr:rowOff>
    </xdr:to>
    <xdr:sp macro="" textlink="">
      <xdr:nvSpPr>
        <xdr:cNvPr id="5" name="Rectángulo redondead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5724524" y="4810920"/>
          <a:ext cx="3709988" cy="80962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TRIMESTRE 4-2024</a:t>
          </a:r>
        </a:p>
      </xdr:txBody>
    </xdr:sp>
    <xdr:clientData/>
  </xdr:twoCellAnchor>
  <xdr:twoCellAnchor editAs="oneCell">
    <xdr:from>
      <xdr:col>0</xdr:col>
      <xdr:colOff>166687</xdr:colOff>
      <xdr:row>0</xdr:row>
      <xdr:rowOff>97319</xdr:rowOff>
    </xdr:from>
    <xdr:to>
      <xdr:col>6</xdr:col>
      <xdr:colOff>178593</xdr:colOff>
      <xdr:row>3</xdr:row>
      <xdr:rowOff>71706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" y="97319"/>
          <a:ext cx="4983956" cy="574462"/>
        </a:xfrm>
        <a:prstGeom prst="rect">
          <a:avLst/>
        </a:prstGeom>
      </xdr:spPr>
    </xdr:pic>
    <xdr:clientData/>
  </xdr:twoCellAnchor>
  <xdr:twoCellAnchor editAs="oneCell">
    <xdr:from>
      <xdr:col>9</xdr:col>
      <xdr:colOff>770932</xdr:colOff>
      <xdr:row>0</xdr:row>
      <xdr:rowOff>54396</xdr:rowOff>
    </xdr:from>
    <xdr:to>
      <xdr:col>11</xdr:col>
      <xdr:colOff>18850</xdr:colOff>
      <xdr:row>4</xdr:row>
      <xdr:rowOff>47626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0432" y="54396"/>
          <a:ext cx="898918" cy="786980"/>
        </a:xfrm>
        <a:prstGeom prst="rect">
          <a:avLst/>
        </a:prstGeom>
      </xdr:spPr>
    </xdr:pic>
    <xdr:clientData/>
  </xdr:twoCellAnchor>
  <xdr:twoCellAnchor>
    <xdr:from>
      <xdr:col>6</xdr:col>
      <xdr:colOff>686594</xdr:colOff>
      <xdr:row>14</xdr:row>
      <xdr:rowOff>64294</xdr:rowOff>
    </xdr:from>
    <xdr:to>
      <xdr:col>11</xdr:col>
      <xdr:colOff>221456</xdr:colOff>
      <xdr:row>18</xdr:row>
      <xdr:rowOff>64294</xdr:rowOff>
    </xdr:to>
    <xdr:sp macro="" textlink="">
      <xdr:nvSpPr>
        <xdr:cNvPr id="9" name="Rectángulo redondead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687219" y="2826544"/>
          <a:ext cx="3702050" cy="809625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>
              <a:solidFill>
                <a:schemeClr val="tx1"/>
              </a:solidFill>
              <a:latin typeface="+mn-lt"/>
              <a:ea typeface="+mn-ea"/>
              <a:cs typeface="+mn-cs"/>
            </a:rPr>
            <a:t>TRIMESTRE 2-2024</a:t>
          </a:r>
          <a:endParaRPr lang="en-US" sz="14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238124</xdr:colOff>
      <xdr:row>30</xdr:row>
      <xdr:rowOff>79374</xdr:rowOff>
    </xdr:from>
    <xdr:to>
      <xdr:col>11</xdr:col>
      <xdr:colOff>515937</xdr:colOff>
      <xdr:row>34</xdr:row>
      <xdr:rowOff>127000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84"/>
        <a:stretch/>
      </xdr:blipFill>
      <xdr:spPr>
        <a:xfrm>
          <a:off x="238124" y="5992812"/>
          <a:ext cx="9358313" cy="84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1</xdr:col>
      <xdr:colOff>293688</xdr:colOff>
      <xdr:row>3</xdr:row>
      <xdr:rowOff>7938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5250" y="196850"/>
          <a:ext cx="1004888" cy="407988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500">
              <a:latin typeface="+mj-lt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</xdr:row>
      <xdr:rowOff>104775</xdr:rowOff>
    </xdr:from>
    <xdr:to>
      <xdr:col>10</xdr:col>
      <xdr:colOff>314325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F6749-A167-4B8F-8EE6-DD40BBCC6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438150</xdr:colOff>
      <xdr:row>5</xdr:row>
      <xdr:rowOff>161925</xdr:rowOff>
    </xdr:from>
    <xdr:to>
      <xdr:col>16</xdr:col>
      <xdr:colOff>1038225</xdr:colOff>
      <xdr:row>19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7723B5-A512-4D3F-A20E-46988F646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619125</xdr:colOff>
      <xdr:row>5</xdr:row>
      <xdr:rowOff>161925</xdr:rowOff>
    </xdr:from>
    <xdr:to>
      <xdr:col>23</xdr:col>
      <xdr:colOff>647700</xdr:colOff>
      <xdr:row>19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D86617-51A6-4936-8252-46218B3F9169}"/>
            </a:ext>
            <a:ext uri="{147F2762-F138-4A5C-976F-8EAC2B608ADB}">
              <a16:predDERef xmlns:a16="http://schemas.microsoft.com/office/drawing/2014/main" pred="{147723B5-A512-4D3F-A20E-46988F646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171450</xdr:colOff>
      <xdr:row>4</xdr:row>
      <xdr:rowOff>161925</xdr:rowOff>
    </xdr:from>
    <xdr:to>
      <xdr:col>41</xdr:col>
      <xdr:colOff>600075</xdr:colOff>
      <xdr:row>18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E800DB-F4E9-4E60-9325-BA5630893EE0}"/>
            </a:ext>
            <a:ext uri="{147F2762-F138-4A5C-976F-8EAC2B608ADB}">
              <a16:predDERef xmlns:a16="http://schemas.microsoft.com/office/drawing/2014/main" pred="{B6D86617-51A6-4936-8252-46218B3F9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380999</xdr:colOff>
      <xdr:row>5</xdr:row>
      <xdr:rowOff>114300</xdr:rowOff>
    </xdr:from>
    <xdr:to>
      <xdr:col>51</xdr:col>
      <xdr:colOff>885824</xdr:colOff>
      <xdr:row>18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9B0C9A-5A93-44E8-90B9-5BAC98834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../Volumes/SP%20PHD%20U3/ACTCOL_AMONTOYA_5/1_Andrea/3_Seguimiento_ACT/PROYECTOS_2017/ICI/Formatos_Seguimiento/HERRAMIENTA_SEGUIMIENTO/ACTCOL_PAISAJESCON_HERRAMIENTAINDICADORES_04_01_2017.xlsx" TargetMode="External"/><Relationship Id="rId1" Type="http://schemas.openxmlformats.org/officeDocument/2006/relationships/externalLinkPath" Target="/Volumes/SP%20PHD%20U3/ACTCOL_AMONTOYA_5/1_Andrea/3_Seguimiento_ACT/PROYECTOS_2017/ICI/Formatos_Seguimiento/HERRAMIENTA_SEGUIMIENTO/ACTCOL_PAISAJESCON_HERRAMIENTAINDICADORES_04_01_2017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../../../Users/TECHNOSMART/Downloads/Marzo%20Libardo/graficas.xlsx" TargetMode="External"/><Relationship Id="rId2" Type="http://schemas.openxmlformats.org/officeDocument/2006/relationships/externalLinkPath" Target="file:///C:\Users\TECHNOSMART\Downloads\Marzo%20Libardo\graficas.xlsx" TargetMode="External"/><Relationship Id="rId1" Type="http://schemas.openxmlformats.org/officeDocument/2006/relationships/externalLinkPath" Target="/Users/TECHNOSMART/Downloads/Marzo%20Libardo/graf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 listas"/>
      <sheetName val="Presentación"/>
      <sheetName val="Resumen de Indicadores 2014"/>
      <sheetName val="Resumen de Indicadores2015"/>
      <sheetName val="1.1"/>
      <sheetName val="2.1"/>
      <sheetName val="Dinámica Prediales"/>
      <sheetName val="din.predxQ"/>
      <sheetName val="2.2 "/>
      <sheetName val="dinamica HA"/>
      <sheetName val="2.3"/>
      <sheetName val="2.4"/>
      <sheetName val="2.5"/>
      <sheetName val="2.6"/>
      <sheetName val="2.7"/>
      <sheetName val="3.1"/>
      <sheetName val="3.2"/>
      <sheetName val="3.3"/>
      <sheetName val="Act.dial"/>
      <sheetName val="3.4 "/>
      <sheetName val="4.1"/>
      <sheetName val="4.2"/>
      <sheetName val="4.3"/>
      <sheetName val="4.4"/>
      <sheetName val="dinamicacapacita"/>
      <sheetName val="Base de Datos capacitaciones"/>
      <sheetName val="Sistemas productivos y medios"/>
      <sheetName val="Base de Datos Familias PPC"/>
      <sheetName val="Metodología Indicadores"/>
      <sheetName val="conceptos"/>
      <sheetName val="base de datos inscritos"/>
      <sheetName val="capacit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RRAMIENTA_SEGUIMIENTO"/>
      <sheetName val="T3_2024"/>
      <sheetName val="Sheet1"/>
    </sheetNames>
    <sheetDataSet>
      <sheetData sheetId="0"/>
      <sheetData sheetId="1">
        <row r="129">
          <cell r="DO129">
            <v>3</v>
          </cell>
          <cell r="DX129">
            <v>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L45"/>
  <sheetViews>
    <sheetView topLeftCell="A15" zoomScale="80" zoomScaleNormal="80" zoomScalePageLayoutView="80" workbookViewId="0">
      <selection activeCell="D41" sqref="D41:E41"/>
    </sheetView>
  </sheetViews>
  <sheetFormatPr defaultColWidth="10.875" defaultRowHeight="15.75"/>
  <cols>
    <col min="1" max="16384" width="10.875" style="8"/>
  </cols>
  <sheetData>
    <row r="8" spans="1:12" ht="8.1" customHeight="1">
      <c r="C8" s="9"/>
      <c r="D8" s="9"/>
      <c r="E8" s="9"/>
      <c r="F8" s="9"/>
      <c r="G8" s="9"/>
      <c r="H8" s="9"/>
      <c r="I8" s="9"/>
      <c r="J8" s="9"/>
      <c r="K8" s="9"/>
    </row>
    <row r="9" spans="1:12" ht="21">
      <c r="A9" s="135" t="s">
        <v>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</row>
    <row r="10" spans="1:12" ht="21">
      <c r="A10" s="135" t="s">
        <v>1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</row>
    <row r="11" spans="1:12" ht="9" customHeight="1"/>
    <row r="45" spans="7:7">
      <c r="G45" s="10"/>
    </row>
  </sheetData>
  <mergeCells count="2">
    <mergeCell ref="A9:L9"/>
    <mergeCell ref="A10:L10"/>
  </mergeCells>
  <pageMargins left="0.75" right="0.75" top="1" bottom="1" header="0.5" footer="0.5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T250"/>
  <sheetViews>
    <sheetView showGridLines="0" tabSelected="1" zoomScale="70" zoomScaleNormal="70" zoomScalePageLayoutView="120" workbookViewId="0">
      <pane xSplit="4" topLeftCell="E1" activePane="topRight" state="frozen"/>
      <selection pane="topRight" activeCell="V5" sqref="V5"/>
      <selection activeCell="A7" sqref="A7"/>
    </sheetView>
  </sheetViews>
  <sheetFormatPr defaultColWidth="11" defaultRowHeight="15.75" customHeight="1"/>
  <cols>
    <col min="1" max="1" width="10.625" bestFit="1" customWidth="1"/>
    <col min="2" max="2" width="26.5" bestFit="1" customWidth="1"/>
    <col min="3" max="3" width="10.75" bestFit="1" customWidth="1"/>
    <col min="4" max="4" width="33.625" bestFit="1" customWidth="1"/>
    <col min="5" max="5" width="15.25" bestFit="1" customWidth="1"/>
    <col min="6" max="6" width="14.125" customWidth="1"/>
    <col min="7" max="7" width="7.75" bestFit="1" customWidth="1"/>
    <col min="8" max="16" width="9.625" customWidth="1"/>
    <col min="17" max="21" width="9.375" customWidth="1"/>
    <col min="22" max="22" width="7.75" bestFit="1" customWidth="1"/>
    <col min="23" max="30" width="9.875" customWidth="1"/>
    <col min="31" max="32" width="9.125" customWidth="1"/>
    <col min="33" max="33" width="11.125" bestFit="1" customWidth="1"/>
    <col min="34" max="36" width="11.125" customWidth="1"/>
    <col min="37" max="37" width="8.625" bestFit="1" customWidth="1"/>
    <col min="38" max="40" width="8.5" bestFit="1" customWidth="1"/>
    <col min="41" max="44" width="10.875" bestFit="1" customWidth="1"/>
    <col min="45" max="47" width="8.5" bestFit="1" customWidth="1"/>
    <col min="48" max="51" width="10.625" bestFit="1" customWidth="1"/>
    <col min="52" max="52" width="6.875" customWidth="1"/>
    <col min="53" max="66" width="9.375" customWidth="1"/>
    <col min="67" max="67" width="5.25" style="2" bestFit="1" customWidth="1"/>
    <col min="68" max="70" width="8.375" style="2" bestFit="1" customWidth="1"/>
    <col min="71" max="72" width="13" style="2" bestFit="1" customWidth="1"/>
    <col min="73" max="74" width="13" style="2" customWidth="1"/>
    <col min="75" max="75" width="15.375" style="2" customWidth="1"/>
    <col min="76" max="76" width="5" style="2" bestFit="1" customWidth="1"/>
    <col min="77" max="79" width="8.375" style="2" bestFit="1" customWidth="1"/>
    <col min="80" max="81" width="13" style="2" bestFit="1" customWidth="1"/>
    <col min="82" max="83" width="13" style="2" customWidth="1"/>
    <col min="84" max="84" width="15.375" style="2" customWidth="1"/>
    <col min="85" max="85" width="5.25" style="2" bestFit="1" customWidth="1"/>
    <col min="86" max="88" width="8.375" style="2" bestFit="1" customWidth="1"/>
    <col min="89" max="89" width="12.875" style="2" customWidth="1"/>
    <col min="90" max="93" width="13.25" style="2" customWidth="1"/>
    <col min="94" max="94" width="12.875" customWidth="1"/>
    <col min="95" max="95" width="6.25" style="2" bestFit="1" customWidth="1"/>
    <col min="96" max="98" width="8.375" style="2" bestFit="1" customWidth="1"/>
    <col min="99" max="99" width="13.375" style="2" bestFit="1" customWidth="1"/>
    <col min="100" max="100" width="13" style="2" bestFit="1" customWidth="1"/>
    <col min="101" max="102" width="13" style="2" customWidth="1"/>
    <col min="103" max="103" width="16.5" customWidth="1"/>
    <col min="104" max="104" width="8.625" style="2" bestFit="1" customWidth="1"/>
    <col min="105" max="106" width="8.375" bestFit="1" customWidth="1"/>
    <col min="107" max="107" width="8.625" bestFit="1" customWidth="1"/>
    <col min="108" max="108" width="13.375" bestFit="1" customWidth="1"/>
    <col min="109" max="109" width="13" bestFit="1" customWidth="1"/>
    <col min="110" max="111" width="13" customWidth="1"/>
    <col min="112" max="112" width="18.375" customWidth="1"/>
    <col min="113" max="113" width="14.625" style="2" bestFit="1" customWidth="1"/>
    <col min="114" max="114" width="12.625" style="2" bestFit="1" customWidth="1"/>
    <col min="115" max="117" width="8.375" style="2" bestFit="1" customWidth="1"/>
    <col min="118" max="118" width="13.375" style="2" bestFit="1" customWidth="1"/>
    <col min="119" max="121" width="13.375" style="2" customWidth="1"/>
    <col min="122" max="122" width="15" bestFit="1" customWidth="1"/>
    <col min="123" max="125" width="8.375" style="2" bestFit="1" customWidth="1"/>
    <col min="126" max="126" width="13.375" style="2" bestFit="1" customWidth="1"/>
    <col min="127" max="127" width="13" style="2" bestFit="1" customWidth="1"/>
    <col min="128" max="129" width="13" style="2" customWidth="1"/>
    <col min="130" max="130" width="15" bestFit="1" customWidth="1"/>
    <col min="131" max="131" width="5" bestFit="1" customWidth="1"/>
    <col min="132" max="134" width="8.375" bestFit="1" customWidth="1"/>
    <col min="135" max="135" width="13.375" bestFit="1" customWidth="1"/>
    <col min="136" max="136" width="13" bestFit="1" customWidth="1"/>
    <col min="137" max="138" width="13" customWidth="1"/>
    <col min="139" max="139" width="18.625" customWidth="1"/>
    <col min="140" max="140" width="6.25" style="2" bestFit="1" customWidth="1"/>
    <col min="141" max="143" width="8.375" style="2" bestFit="1" customWidth="1"/>
    <col min="144" max="144" width="13.375" style="2" bestFit="1" customWidth="1"/>
    <col min="145" max="145" width="13" style="2" bestFit="1" customWidth="1"/>
    <col min="146" max="147" width="13" style="2" customWidth="1"/>
    <col min="148" max="148" width="15" bestFit="1" customWidth="1"/>
    <col min="149" max="149" width="5" style="2" bestFit="1" customWidth="1"/>
    <col min="150" max="152" width="8.375" bestFit="1" customWidth="1"/>
    <col min="153" max="153" width="13.375" bestFit="1" customWidth="1"/>
    <col min="154" max="156" width="13.375" customWidth="1"/>
    <col min="157" max="157" width="15" bestFit="1" customWidth="1"/>
    <col min="158" max="158" width="5" style="2" bestFit="1" customWidth="1"/>
    <col min="159" max="161" width="8.375" bestFit="1" customWidth="1"/>
    <col min="162" max="162" width="13.375" bestFit="1" customWidth="1"/>
    <col min="163" max="165" width="13.375" customWidth="1"/>
    <col min="166" max="166" width="15" bestFit="1" customWidth="1"/>
    <col min="167" max="167" width="8.625" style="2" bestFit="1" customWidth="1"/>
    <col min="168" max="170" width="8.375" bestFit="1" customWidth="1"/>
    <col min="171" max="171" width="13.375" bestFit="1" customWidth="1"/>
    <col min="172" max="174" width="13.375" customWidth="1"/>
    <col min="175" max="175" width="15" bestFit="1" customWidth="1"/>
    <col min="176" max="178" width="8.375" style="2" bestFit="1" customWidth="1"/>
    <col min="179" max="179" width="13.375" style="2" bestFit="1" customWidth="1"/>
    <col min="180" max="182" width="13.375" style="2" customWidth="1"/>
    <col min="183" max="183" width="15" bestFit="1" customWidth="1"/>
    <col min="184" max="184" width="5" style="2" bestFit="1" customWidth="1"/>
    <col min="185" max="187" width="8.375" bestFit="1" customWidth="1"/>
    <col min="188" max="188" width="13.375" bestFit="1" customWidth="1"/>
    <col min="189" max="191" width="13.375" customWidth="1"/>
    <col min="192" max="192" width="15" bestFit="1" customWidth="1"/>
    <col min="193" max="193" width="5" bestFit="1" customWidth="1"/>
    <col min="194" max="196" width="8.375" bestFit="1" customWidth="1"/>
    <col min="197" max="197" width="13.375" bestFit="1" customWidth="1"/>
    <col min="198" max="200" width="13.375" customWidth="1"/>
    <col min="201" max="201" width="17.625" bestFit="1" customWidth="1"/>
    <col min="202" max="202" width="5" bestFit="1" customWidth="1"/>
    <col min="203" max="205" width="8.375" bestFit="1" customWidth="1"/>
    <col min="206" max="206" width="13.375" bestFit="1" customWidth="1"/>
    <col min="207" max="207" width="13" bestFit="1" customWidth="1"/>
    <col min="208" max="209" width="13" customWidth="1"/>
    <col min="210" max="210" width="17.5" customWidth="1"/>
    <col min="211" max="211" width="5" style="2" bestFit="1" customWidth="1"/>
    <col min="212" max="214" width="8.375" style="2" bestFit="1" customWidth="1"/>
    <col min="215" max="215" width="13.375" style="2" bestFit="1" customWidth="1"/>
    <col min="216" max="216" width="13" style="2" bestFit="1" customWidth="1"/>
    <col min="217" max="218" width="13" style="2" customWidth="1"/>
    <col min="219" max="219" width="11" style="2"/>
    <col min="220" max="220" width="5.25" style="2" bestFit="1" customWidth="1"/>
    <col min="221" max="223" width="8.375" style="2" bestFit="1" customWidth="1"/>
    <col min="224" max="224" width="13.375" style="2" bestFit="1" customWidth="1"/>
    <col min="225" max="225" width="13" style="2" bestFit="1" customWidth="1"/>
    <col min="226" max="227" width="13" style="2" customWidth="1"/>
    <col min="228" max="228" width="11" style="2" customWidth="1"/>
    <col min="229" max="229" width="5" style="2" bestFit="1" customWidth="1"/>
    <col min="230" max="232" width="8.375" style="2" bestFit="1" customWidth="1"/>
    <col min="233" max="233" width="13.375" style="2" bestFit="1" customWidth="1"/>
    <col min="234" max="234" width="13" style="2" bestFit="1" customWidth="1"/>
    <col min="235" max="236" width="13" style="2" customWidth="1"/>
    <col min="237" max="237" width="12.625" style="2" customWidth="1"/>
    <col min="238" max="238" width="11" style="2" customWidth="1"/>
    <col min="239" max="239" width="12.5" style="18" bestFit="1" customWidth="1"/>
    <col min="240" max="240" width="5.25" bestFit="1" customWidth="1"/>
    <col min="241" max="243" width="8.375" bestFit="1" customWidth="1"/>
    <col min="244" max="245" width="12" bestFit="1" customWidth="1"/>
    <col min="246" max="247" width="12" customWidth="1"/>
    <col min="248" max="248" width="13.5" customWidth="1"/>
    <col min="249" max="253" width="12.625" customWidth="1"/>
    <col min="254" max="255" width="11.25" customWidth="1"/>
    <col min="256" max="256" width="14.625" customWidth="1"/>
    <col min="257" max="257" width="16.625" style="2" customWidth="1"/>
  </cols>
  <sheetData>
    <row r="1" spans="1:260" ht="15.75" customHeight="1" thickBot="1">
      <c r="CZ1"/>
      <c r="DI1"/>
      <c r="DJ1"/>
      <c r="DK1"/>
      <c r="DL1"/>
      <c r="DM1"/>
      <c r="DN1"/>
      <c r="DO1"/>
      <c r="DP1"/>
      <c r="DQ1"/>
      <c r="DS1"/>
      <c r="DT1"/>
      <c r="DU1"/>
      <c r="DV1"/>
      <c r="DW1"/>
      <c r="DX1"/>
      <c r="DY1"/>
      <c r="EJ1"/>
      <c r="EK1"/>
      <c r="EL1"/>
      <c r="EM1"/>
      <c r="EN1"/>
      <c r="EO1"/>
      <c r="EP1"/>
      <c r="EQ1"/>
      <c r="ES1"/>
      <c r="FB1"/>
      <c r="FK1"/>
      <c r="FT1"/>
      <c r="FU1"/>
      <c r="FV1"/>
      <c r="FW1"/>
      <c r="FX1"/>
      <c r="FY1"/>
      <c r="FZ1"/>
      <c r="GB1"/>
      <c r="IW1"/>
      <c r="IY1" s="4"/>
    </row>
    <row r="2" spans="1:260" ht="15.6" customHeight="1">
      <c r="C2" s="126" t="s">
        <v>2</v>
      </c>
      <c r="D2" s="127"/>
      <c r="E2" s="12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IY2" s="4"/>
      <c r="IZ2" s="4"/>
    </row>
    <row r="3" spans="1:260" ht="19.5" thickBot="1">
      <c r="C3" s="129"/>
      <c r="D3" s="130"/>
      <c r="E3" s="13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Y3" s="4"/>
      <c r="IZ3" s="4"/>
    </row>
    <row r="4" spans="1:260" ht="15.75" customHeight="1"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Y4" s="4"/>
    </row>
    <row r="5" spans="1:260" s="4" customFormat="1" ht="22.5" customHeight="1">
      <c r="A5" s="123" t="s">
        <v>3</v>
      </c>
      <c r="B5" s="123" t="s">
        <v>4</v>
      </c>
      <c r="C5" s="124" t="s">
        <v>5</v>
      </c>
      <c r="D5" s="123" t="s">
        <v>6</v>
      </c>
      <c r="E5" s="123" t="s">
        <v>7</v>
      </c>
      <c r="F5" s="132" t="s">
        <v>8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4"/>
      <c r="V5" s="132" t="s">
        <v>9</v>
      </c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4"/>
      <c r="AK5" s="132" t="s">
        <v>10</v>
      </c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4"/>
      <c r="AZ5" s="132" t="s">
        <v>11</v>
      </c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4"/>
      <c r="BO5" s="104" t="s">
        <v>12</v>
      </c>
      <c r="BP5" s="105"/>
      <c r="BQ5" s="105"/>
      <c r="BR5" s="105"/>
      <c r="BS5" s="105"/>
      <c r="BT5" s="105"/>
      <c r="BU5" s="105"/>
      <c r="BV5" s="106"/>
      <c r="BW5" s="109" t="s">
        <v>13</v>
      </c>
      <c r="BX5" s="104" t="s">
        <v>14</v>
      </c>
      <c r="BY5" s="105"/>
      <c r="BZ5" s="105"/>
      <c r="CA5" s="105"/>
      <c r="CB5" s="105"/>
      <c r="CC5" s="105"/>
      <c r="CD5" s="105"/>
      <c r="CE5" s="106"/>
      <c r="CF5" s="109" t="s">
        <v>13</v>
      </c>
      <c r="CG5" s="104" t="s">
        <v>15</v>
      </c>
      <c r="CH5" s="105"/>
      <c r="CI5" s="105"/>
      <c r="CJ5" s="105"/>
      <c r="CK5" s="105"/>
      <c r="CL5" s="105"/>
      <c r="CM5" s="105"/>
      <c r="CN5" s="106"/>
      <c r="CO5" s="101"/>
      <c r="CP5" s="109" t="s">
        <v>13</v>
      </c>
      <c r="CQ5" s="115" t="s">
        <v>16</v>
      </c>
      <c r="CR5" s="116"/>
      <c r="CS5" s="116"/>
      <c r="CT5" s="116"/>
      <c r="CU5" s="116"/>
      <c r="CV5" s="116"/>
      <c r="CW5" s="116"/>
      <c r="CX5" s="117"/>
      <c r="CY5" s="111" t="s">
        <v>13</v>
      </c>
      <c r="CZ5" s="118" t="s">
        <v>17</v>
      </c>
      <c r="DA5" s="119"/>
      <c r="DB5" s="119"/>
      <c r="DC5" s="119"/>
      <c r="DD5" s="119"/>
      <c r="DE5" s="119"/>
      <c r="DF5" s="119"/>
      <c r="DG5" s="120"/>
      <c r="DH5" s="113" t="s">
        <v>18</v>
      </c>
      <c r="DI5" s="118" t="s">
        <v>19</v>
      </c>
      <c r="DJ5" s="119"/>
      <c r="DK5" s="119"/>
      <c r="DL5" s="119"/>
      <c r="DM5" s="119"/>
      <c r="DN5" s="119"/>
      <c r="DO5" s="119"/>
      <c r="DP5" s="119"/>
      <c r="DQ5" s="120"/>
      <c r="DR5" s="113" t="s">
        <v>18</v>
      </c>
      <c r="DS5" s="115" t="s">
        <v>20</v>
      </c>
      <c r="DT5" s="116"/>
      <c r="DU5" s="116"/>
      <c r="DV5" s="116"/>
      <c r="DW5" s="116"/>
      <c r="DX5" s="116"/>
      <c r="DY5" s="117"/>
      <c r="DZ5" s="113" t="s">
        <v>18</v>
      </c>
      <c r="EA5" s="115" t="s">
        <v>21</v>
      </c>
      <c r="EB5" s="116"/>
      <c r="EC5" s="116"/>
      <c r="ED5" s="116"/>
      <c r="EE5" s="116"/>
      <c r="EF5" s="116"/>
      <c r="EG5" s="116"/>
      <c r="EH5" s="117"/>
      <c r="EI5" s="111" t="s">
        <v>18</v>
      </c>
      <c r="EJ5" s="115" t="s">
        <v>22</v>
      </c>
      <c r="EK5" s="116"/>
      <c r="EL5" s="116"/>
      <c r="EM5" s="116"/>
      <c r="EN5" s="116"/>
      <c r="EO5" s="116"/>
      <c r="EP5" s="116"/>
      <c r="EQ5" s="117"/>
      <c r="ER5" s="111" t="s">
        <v>18</v>
      </c>
      <c r="ES5" s="115" t="s">
        <v>23</v>
      </c>
      <c r="ET5" s="116"/>
      <c r="EU5" s="116"/>
      <c r="EV5" s="116"/>
      <c r="EW5" s="116"/>
      <c r="EX5" s="116"/>
      <c r="EY5" s="116"/>
      <c r="EZ5" s="117"/>
      <c r="FA5" s="111" t="s">
        <v>18</v>
      </c>
      <c r="FB5" s="115" t="s">
        <v>24</v>
      </c>
      <c r="FC5" s="116"/>
      <c r="FD5" s="116"/>
      <c r="FE5" s="116"/>
      <c r="FF5" s="116"/>
      <c r="FG5" s="116"/>
      <c r="FH5" s="116"/>
      <c r="FI5" s="117"/>
      <c r="FJ5" s="107" t="s">
        <v>18</v>
      </c>
      <c r="FK5" s="115" t="s">
        <v>25</v>
      </c>
      <c r="FL5" s="116"/>
      <c r="FM5" s="116"/>
      <c r="FN5" s="116"/>
      <c r="FO5" s="116"/>
      <c r="FP5" s="116"/>
      <c r="FQ5" s="116"/>
      <c r="FR5" s="117"/>
      <c r="FS5" s="113" t="s">
        <v>18</v>
      </c>
      <c r="FT5" s="115" t="s">
        <v>26</v>
      </c>
      <c r="FU5" s="116"/>
      <c r="FV5" s="116"/>
      <c r="FW5" s="116"/>
      <c r="FX5" s="116"/>
      <c r="FY5" s="116"/>
      <c r="FZ5" s="117"/>
      <c r="GA5" s="113" t="s">
        <v>18</v>
      </c>
      <c r="GB5" s="104" t="s">
        <v>27</v>
      </c>
      <c r="GC5" s="105"/>
      <c r="GD5" s="105"/>
      <c r="GE5" s="105"/>
      <c r="GF5" s="105"/>
      <c r="GG5" s="105"/>
      <c r="GH5" s="105"/>
      <c r="GI5" s="106"/>
      <c r="GJ5" s="109" t="s">
        <v>18</v>
      </c>
      <c r="GK5" s="104" t="s">
        <v>28</v>
      </c>
      <c r="GL5" s="105"/>
      <c r="GM5" s="105"/>
      <c r="GN5" s="105"/>
      <c r="GO5" s="105"/>
      <c r="GP5" s="105"/>
      <c r="GQ5" s="105"/>
      <c r="GR5" s="106"/>
      <c r="GS5" s="109" t="s">
        <v>18</v>
      </c>
      <c r="GT5" s="104" t="s">
        <v>29</v>
      </c>
      <c r="GU5" s="105"/>
      <c r="GV5" s="105"/>
      <c r="GW5" s="105"/>
      <c r="GX5" s="105"/>
      <c r="GY5" s="105"/>
      <c r="GZ5" s="105"/>
      <c r="HA5" s="106"/>
      <c r="HB5" s="109" t="s">
        <v>18</v>
      </c>
      <c r="HC5" s="115" t="s">
        <v>30</v>
      </c>
      <c r="HD5" s="116"/>
      <c r="HE5" s="116"/>
      <c r="HF5" s="116"/>
      <c r="HG5" s="116"/>
      <c r="HH5" s="116"/>
      <c r="HI5" s="116"/>
      <c r="HJ5" s="117"/>
      <c r="HK5" s="107" t="s">
        <v>18</v>
      </c>
      <c r="HL5" s="115" t="s">
        <v>31</v>
      </c>
      <c r="HM5" s="116"/>
      <c r="HN5" s="116"/>
      <c r="HO5" s="116"/>
      <c r="HP5" s="116"/>
      <c r="HQ5" s="116"/>
      <c r="HR5" s="116"/>
      <c r="HS5" s="117"/>
      <c r="HT5" s="107" t="s">
        <v>18</v>
      </c>
      <c r="HU5" s="115" t="s">
        <v>32</v>
      </c>
      <c r="HV5" s="116"/>
      <c r="HW5" s="116"/>
      <c r="HX5" s="116"/>
      <c r="HY5" s="116"/>
      <c r="HZ5" s="116"/>
      <c r="IA5" s="116"/>
      <c r="IB5" s="117"/>
      <c r="IC5" s="113" t="s">
        <v>18</v>
      </c>
      <c r="ID5" s="111" t="s">
        <v>33</v>
      </c>
      <c r="IE5" s="114" t="s">
        <v>18</v>
      </c>
      <c r="IF5" s="104" t="s">
        <v>34</v>
      </c>
      <c r="IG5" s="105"/>
      <c r="IH5" s="105"/>
      <c r="II5" s="105"/>
      <c r="IJ5" s="105"/>
      <c r="IK5" s="105"/>
      <c r="IL5" s="105"/>
      <c r="IM5" s="106"/>
      <c r="IN5" s="115" t="s">
        <v>35</v>
      </c>
      <c r="IO5" s="116"/>
      <c r="IP5" s="116"/>
      <c r="IQ5" s="116"/>
      <c r="IR5" s="116"/>
      <c r="IS5" s="116"/>
      <c r="IT5" s="116"/>
      <c r="IU5" s="117"/>
      <c r="IV5" s="122" t="s">
        <v>36</v>
      </c>
      <c r="IW5" s="122"/>
      <c r="IX5" s="121" t="s">
        <v>18</v>
      </c>
    </row>
    <row r="6" spans="1:260" s="5" customFormat="1" ht="36" customHeight="1">
      <c r="A6" s="123"/>
      <c r="B6" s="123"/>
      <c r="C6" s="125"/>
      <c r="D6" s="123"/>
      <c r="E6" s="123"/>
      <c r="F6" s="14" t="s">
        <v>37</v>
      </c>
      <c r="G6" s="14" t="s">
        <v>38</v>
      </c>
      <c r="H6" s="14" t="s">
        <v>39</v>
      </c>
      <c r="I6" s="14" t="s">
        <v>40</v>
      </c>
      <c r="J6" s="14" t="s">
        <v>41</v>
      </c>
      <c r="K6" s="14" t="s">
        <v>42</v>
      </c>
      <c r="L6" s="14" t="s">
        <v>43</v>
      </c>
      <c r="M6" s="14" t="s">
        <v>44</v>
      </c>
      <c r="N6" s="14" t="s">
        <v>45</v>
      </c>
      <c r="O6" s="14" t="s">
        <v>46</v>
      </c>
      <c r="P6" s="14" t="s">
        <v>47</v>
      </c>
      <c r="Q6" s="14" t="s">
        <v>48</v>
      </c>
      <c r="R6" s="14" t="s">
        <v>49</v>
      </c>
      <c r="S6" s="14" t="s">
        <v>50</v>
      </c>
      <c r="T6" s="14" t="s">
        <v>51</v>
      </c>
      <c r="U6" s="14" t="s">
        <v>52</v>
      </c>
      <c r="V6" s="14" t="s">
        <v>38</v>
      </c>
      <c r="W6" s="14" t="s">
        <v>39</v>
      </c>
      <c r="X6" s="14" t="s">
        <v>40</v>
      </c>
      <c r="Y6" s="14" t="s">
        <v>41</v>
      </c>
      <c r="Z6" s="14" t="s">
        <v>42</v>
      </c>
      <c r="AA6" s="14" t="s">
        <v>43</v>
      </c>
      <c r="AB6" s="14" t="s">
        <v>44</v>
      </c>
      <c r="AC6" s="14" t="s">
        <v>45</v>
      </c>
      <c r="AD6" s="14" t="s">
        <v>46</v>
      </c>
      <c r="AE6" s="14" t="s">
        <v>47</v>
      </c>
      <c r="AF6" s="14" t="s">
        <v>48</v>
      </c>
      <c r="AG6" s="14" t="s">
        <v>49</v>
      </c>
      <c r="AH6" s="14" t="s">
        <v>50</v>
      </c>
      <c r="AI6" s="14" t="s">
        <v>51</v>
      </c>
      <c r="AJ6" s="14" t="s">
        <v>52</v>
      </c>
      <c r="AK6" s="14" t="s">
        <v>38</v>
      </c>
      <c r="AL6" s="14" t="s">
        <v>39</v>
      </c>
      <c r="AM6" s="14" t="s">
        <v>40</v>
      </c>
      <c r="AN6" s="14" t="s">
        <v>41</v>
      </c>
      <c r="AO6" s="14" t="s">
        <v>42</v>
      </c>
      <c r="AP6" s="14" t="s">
        <v>43</v>
      </c>
      <c r="AQ6" s="14" t="s">
        <v>44</v>
      </c>
      <c r="AR6" s="14" t="s">
        <v>45</v>
      </c>
      <c r="AS6" s="14" t="s">
        <v>46</v>
      </c>
      <c r="AT6" s="14" t="s">
        <v>47</v>
      </c>
      <c r="AU6" s="14" t="s">
        <v>48</v>
      </c>
      <c r="AV6" s="14" t="s">
        <v>49</v>
      </c>
      <c r="AW6" s="14" t="s">
        <v>50</v>
      </c>
      <c r="AX6" s="14" t="s">
        <v>51</v>
      </c>
      <c r="AY6" s="14" t="s">
        <v>52</v>
      </c>
      <c r="AZ6" s="14" t="s">
        <v>38</v>
      </c>
      <c r="BA6" s="14" t="s">
        <v>39</v>
      </c>
      <c r="BB6" s="14" t="s">
        <v>40</v>
      </c>
      <c r="BC6" s="14" t="s">
        <v>41</v>
      </c>
      <c r="BD6" s="14" t="s">
        <v>42</v>
      </c>
      <c r="BE6" s="14" t="s">
        <v>43</v>
      </c>
      <c r="BF6" s="14" t="s">
        <v>44</v>
      </c>
      <c r="BG6" s="14" t="s">
        <v>45</v>
      </c>
      <c r="BH6" s="14" t="s">
        <v>46</v>
      </c>
      <c r="BI6" s="14" t="s">
        <v>47</v>
      </c>
      <c r="BJ6" s="14" t="s">
        <v>48</v>
      </c>
      <c r="BK6" s="14" t="s">
        <v>49</v>
      </c>
      <c r="BL6" s="14" t="s">
        <v>50</v>
      </c>
      <c r="BM6" s="14" t="s">
        <v>51</v>
      </c>
      <c r="BN6" s="14" t="s">
        <v>52</v>
      </c>
      <c r="BO6" s="11" t="s">
        <v>53</v>
      </c>
      <c r="BP6" s="11" t="s">
        <v>54</v>
      </c>
      <c r="BQ6" s="11" t="s">
        <v>55</v>
      </c>
      <c r="BR6" s="11" t="s">
        <v>55</v>
      </c>
      <c r="BS6" s="11" t="s">
        <v>56</v>
      </c>
      <c r="BT6" s="11" t="s">
        <v>57</v>
      </c>
      <c r="BU6" s="11" t="s">
        <v>58</v>
      </c>
      <c r="BV6" s="11" t="s">
        <v>59</v>
      </c>
      <c r="BW6" s="110"/>
      <c r="BX6" s="11" t="s">
        <v>53</v>
      </c>
      <c r="BY6" s="11" t="s">
        <v>54</v>
      </c>
      <c r="BZ6" s="11" t="s">
        <v>55</v>
      </c>
      <c r="CA6" s="11" t="s">
        <v>60</v>
      </c>
      <c r="CB6" s="11" t="s">
        <v>56</v>
      </c>
      <c r="CC6" s="11" t="s">
        <v>57</v>
      </c>
      <c r="CD6" s="11" t="s">
        <v>58</v>
      </c>
      <c r="CE6" s="11" t="s">
        <v>59</v>
      </c>
      <c r="CF6" s="110"/>
      <c r="CG6" s="11" t="s">
        <v>38</v>
      </c>
      <c r="CH6" s="11" t="s">
        <v>54</v>
      </c>
      <c r="CI6" s="11" t="s">
        <v>55</v>
      </c>
      <c r="CJ6" s="11" t="s">
        <v>60</v>
      </c>
      <c r="CK6" s="11" t="s">
        <v>56</v>
      </c>
      <c r="CL6" s="11" t="s">
        <v>57</v>
      </c>
      <c r="CM6" s="11" t="s">
        <v>58</v>
      </c>
      <c r="CN6" s="11" t="s">
        <v>59</v>
      </c>
      <c r="CO6" s="100"/>
      <c r="CP6" s="110"/>
      <c r="CQ6" s="13" t="s">
        <v>53</v>
      </c>
      <c r="CR6" s="13" t="s">
        <v>54</v>
      </c>
      <c r="CS6" s="13" t="s">
        <v>55</v>
      </c>
      <c r="CT6" s="17" t="s">
        <v>60</v>
      </c>
      <c r="CU6" s="17" t="s">
        <v>61</v>
      </c>
      <c r="CV6" s="17" t="s">
        <v>57</v>
      </c>
      <c r="CW6" s="17" t="s">
        <v>58</v>
      </c>
      <c r="CX6" s="17" t="s">
        <v>59</v>
      </c>
      <c r="CY6" s="112"/>
      <c r="CZ6" s="13" t="s">
        <v>53</v>
      </c>
      <c r="DA6" s="13" t="s">
        <v>54</v>
      </c>
      <c r="DB6" s="13" t="s">
        <v>55</v>
      </c>
      <c r="DC6" s="17" t="s">
        <v>60</v>
      </c>
      <c r="DD6" s="17" t="s">
        <v>61</v>
      </c>
      <c r="DE6" s="17" t="s">
        <v>57</v>
      </c>
      <c r="DF6" s="17" t="s">
        <v>58</v>
      </c>
      <c r="DG6" s="17" t="s">
        <v>59</v>
      </c>
      <c r="DH6" s="113"/>
      <c r="DI6" s="13" t="s">
        <v>62</v>
      </c>
      <c r="DJ6" s="13" t="s">
        <v>63</v>
      </c>
      <c r="DK6" s="13" t="s">
        <v>54</v>
      </c>
      <c r="DL6" s="13" t="s">
        <v>55</v>
      </c>
      <c r="DM6" s="17" t="s">
        <v>60</v>
      </c>
      <c r="DN6" s="17" t="s">
        <v>61</v>
      </c>
      <c r="DO6" s="17" t="s">
        <v>57</v>
      </c>
      <c r="DP6" s="17" t="s">
        <v>58</v>
      </c>
      <c r="DQ6" s="17" t="s">
        <v>59</v>
      </c>
      <c r="DR6" s="113"/>
      <c r="DS6" s="17" t="s">
        <v>54</v>
      </c>
      <c r="DT6" s="17" t="s">
        <v>55</v>
      </c>
      <c r="DU6" s="17" t="s">
        <v>60</v>
      </c>
      <c r="DV6" s="17" t="s">
        <v>61</v>
      </c>
      <c r="DW6" s="17" t="s">
        <v>57</v>
      </c>
      <c r="DX6" s="17" t="s">
        <v>58</v>
      </c>
      <c r="DY6" s="17" t="s">
        <v>59</v>
      </c>
      <c r="DZ6" s="113"/>
      <c r="EA6" s="13" t="s">
        <v>53</v>
      </c>
      <c r="EB6" s="13" t="s">
        <v>54</v>
      </c>
      <c r="EC6" s="13" t="s">
        <v>55</v>
      </c>
      <c r="ED6" s="17" t="s">
        <v>60</v>
      </c>
      <c r="EE6" s="17" t="s">
        <v>61</v>
      </c>
      <c r="EF6" s="17" t="s">
        <v>57</v>
      </c>
      <c r="EG6" s="17" t="s">
        <v>58</v>
      </c>
      <c r="EH6" s="17" t="s">
        <v>59</v>
      </c>
      <c r="EI6" s="112"/>
      <c r="EJ6" s="13" t="s">
        <v>53</v>
      </c>
      <c r="EK6" s="13" t="s">
        <v>54</v>
      </c>
      <c r="EL6" s="13" t="s">
        <v>55</v>
      </c>
      <c r="EM6" s="13" t="s">
        <v>60</v>
      </c>
      <c r="EN6" s="17" t="s">
        <v>61</v>
      </c>
      <c r="EO6" s="17" t="s">
        <v>57</v>
      </c>
      <c r="EP6" s="17" t="s">
        <v>58</v>
      </c>
      <c r="EQ6" s="17" t="s">
        <v>59</v>
      </c>
      <c r="ER6" s="112"/>
      <c r="ES6" s="13" t="s">
        <v>53</v>
      </c>
      <c r="ET6" s="13" t="s">
        <v>54</v>
      </c>
      <c r="EU6" s="13" t="s">
        <v>55</v>
      </c>
      <c r="EV6" s="13" t="s">
        <v>60</v>
      </c>
      <c r="EW6" s="17" t="s">
        <v>61</v>
      </c>
      <c r="EX6" s="17" t="s">
        <v>57</v>
      </c>
      <c r="EY6" s="17" t="s">
        <v>58</v>
      </c>
      <c r="EZ6" s="17" t="s">
        <v>59</v>
      </c>
      <c r="FA6" s="112"/>
      <c r="FB6" s="13" t="s">
        <v>53</v>
      </c>
      <c r="FC6" s="13" t="s">
        <v>54</v>
      </c>
      <c r="FD6" s="13" t="s">
        <v>55</v>
      </c>
      <c r="FE6" s="13" t="s">
        <v>60</v>
      </c>
      <c r="FF6" s="17" t="s">
        <v>61</v>
      </c>
      <c r="FG6" s="17" t="s">
        <v>57</v>
      </c>
      <c r="FH6" s="17" t="s">
        <v>58</v>
      </c>
      <c r="FI6" s="17" t="s">
        <v>59</v>
      </c>
      <c r="FJ6" s="108"/>
      <c r="FK6" s="13" t="s">
        <v>53</v>
      </c>
      <c r="FL6" s="13" t="s">
        <v>54</v>
      </c>
      <c r="FM6" s="13" t="s">
        <v>55</v>
      </c>
      <c r="FN6" s="13" t="s">
        <v>60</v>
      </c>
      <c r="FO6" s="17" t="s">
        <v>61</v>
      </c>
      <c r="FP6" s="17" t="s">
        <v>57</v>
      </c>
      <c r="FQ6" s="17" t="s">
        <v>58</v>
      </c>
      <c r="FR6" s="17" t="s">
        <v>59</v>
      </c>
      <c r="FS6" s="113"/>
      <c r="FT6" s="13" t="s">
        <v>54</v>
      </c>
      <c r="FU6" s="13" t="s">
        <v>55</v>
      </c>
      <c r="FV6" s="13" t="s">
        <v>60</v>
      </c>
      <c r="FW6" s="17" t="s">
        <v>61</v>
      </c>
      <c r="FX6" s="17" t="s">
        <v>57</v>
      </c>
      <c r="FY6" s="17" t="s">
        <v>58</v>
      </c>
      <c r="FZ6" s="17" t="s">
        <v>59</v>
      </c>
      <c r="GA6" s="113"/>
      <c r="GB6" s="11" t="s">
        <v>38</v>
      </c>
      <c r="GC6" s="11" t="s">
        <v>54</v>
      </c>
      <c r="GD6" s="11" t="s">
        <v>55</v>
      </c>
      <c r="GE6" s="11" t="s">
        <v>60</v>
      </c>
      <c r="GF6" s="11" t="s">
        <v>61</v>
      </c>
      <c r="GG6" s="11" t="s">
        <v>57</v>
      </c>
      <c r="GH6" s="11" t="s">
        <v>58</v>
      </c>
      <c r="GI6" s="11" t="s">
        <v>59</v>
      </c>
      <c r="GJ6" s="110"/>
      <c r="GK6" s="11" t="s">
        <v>38</v>
      </c>
      <c r="GL6" s="11" t="s">
        <v>54</v>
      </c>
      <c r="GM6" s="11" t="s">
        <v>55</v>
      </c>
      <c r="GN6" s="11" t="s">
        <v>60</v>
      </c>
      <c r="GO6" s="11" t="s">
        <v>61</v>
      </c>
      <c r="GP6" s="11" t="s">
        <v>57</v>
      </c>
      <c r="GQ6" s="11" t="s">
        <v>58</v>
      </c>
      <c r="GR6" s="11" t="s">
        <v>59</v>
      </c>
      <c r="GS6" s="110"/>
      <c r="GT6" s="11" t="s">
        <v>38</v>
      </c>
      <c r="GU6" s="11" t="s">
        <v>54</v>
      </c>
      <c r="GV6" s="11" t="s">
        <v>55</v>
      </c>
      <c r="GW6" s="11" t="s">
        <v>60</v>
      </c>
      <c r="GX6" s="11" t="s">
        <v>61</v>
      </c>
      <c r="GY6" s="11" t="s">
        <v>57</v>
      </c>
      <c r="GZ6" s="11" t="s">
        <v>58</v>
      </c>
      <c r="HA6" s="11" t="s">
        <v>59</v>
      </c>
      <c r="HB6" s="110"/>
      <c r="HC6" s="13" t="s">
        <v>53</v>
      </c>
      <c r="HD6" s="13" t="s">
        <v>54</v>
      </c>
      <c r="HE6" s="13" t="s">
        <v>55</v>
      </c>
      <c r="HF6" s="13" t="s">
        <v>60</v>
      </c>
      <c r="HG6" s="13" t="s">
        <v>61</v>
      </c>
      <c r="HH6" s="13" t="s">
        <v>57</v>
      </c>
      <c r="HI6" s="13" t="s">
        <v>58</v>
      </c>
      <c r="HJ6" s="13" t="s">
        <v>59</v>
      </c>
      <c r="HK6" s="108"/>
      <c r="HL6" s="13" t="s">
        <v>53</v>
      </c>
      <c r="HM6" s="13" t="s">
        <v>54</v>
      </c>
      <c r="HN6" s="13" t="s">
        <v>55</v>
      </c>
      <c r="HO6" s="13" t="s">
        <v>60</v>
      </c>
      <c r="HP6" s="13" t="s">
        <v>61</v>
      </c>
      <c r="HQ6" s="13" t="s">
        <v>57</v>
      </c>
      <c r="HR6" s="13" t="s">
        <v>58</v>
      </c>
      <c r="HS6" s="13" t="s">
        <v>59</v>
      </c>
      <c r="HT6" s="108"/>
      <c r="HU6" s="13" t="s">
        <v>53</v>
      </c>
      <c r="HV6" s="13" t="s">
        <v>54</v>
      </c>
      <c r="HW6" s="13" t="s">
        <v>55</v>
      </c>
      <c r="HX6" s="13" t="s">
        <v>60</v>
      </c>
      <c r="HY6" s="13" t="s">
        <v>61</v>
      </c>
      <c r="HZ6" s="13" t="s">
        <v>57</v>
      </c>
      <c r="IA6" s="13" t="s">
        <v>58</v>
      </c>
      <c r="IB6" s="13" t="s">
        <v>59</v>
      </c>
      <c r="IC6" s="113"/>
      <c r="ID6" s="112"/>
      <c r="IE6" s="114"/>
      <c r="IF6" s="11" t="s">
        <v>53</v>
      </c>
      <c r="IG6" s="11" t="s">
        <v>54</v>
      </c>
      <c r="IH6" s="11" t="s">
        <v>55</v>
      </c>
      <c r="II6" s="11" t="s">
        <v>60</v>
      </c>
      <c r="IJ6" s="11" t="s">
        <v>56</v>
      </c>
      <c r="IK6" s="11" t="s">
        <v>57</v>
      </c>
      <c r="IL6" s="11" t="s">
        <v>58</v>
      </c>
      <c r="IM6" s="11" t="s">
        <v>59</v>
      </c>
      <c r="IN6" s="13" t="s">
        <v>53</v>
      </c>
      <c r="IO6" s="13" t="s">
        <v>54</v>
      </c>
      <c r="IP6" s="13" t="s">
        <v>55</v>
      </c>
      <c r="IQ6" s="13" t="s">
        <v>60</v>
      </c>
      <c r="IR6" s="13" t="s">
        <v>56</v>
      </c>
      <c r="IS6" s="13" t="s">
        <v>57</v>
      </c>
      <c r="IT6" s="13" t="s">
        <v>58</v>
      </c>
      <c r="IU6" s="13" t="s">
        <v>59</v>
      </c>
      <c r="IV6" s="7" t="s">
        <v>53</v>
      </c>
      <c r="IW6" s="7" t="s">
        <v>64</v>
      </c>
      <c r="IX6" s="121"/>
      <c r="IY6" s="4"/>
      <c r="IZ6" s="4"/>
    </row>
    <row r="7" spans="1:260" s="5" customFormat="1" ht="15.95" customHeight="1">
      <c r="A7" s="12">
        <v>1</v>
      </c>
      <c r="B7" s="58" t="s">
        <v>65</v>
      </c>
      <c r="C7" s="58" t="s">
        <v>66</v>
      </c>
      <c r="D7" s="58" t="s">
        <v>67</v>
      </c>
      <c r="E7" s="50">
        <v>20.100000000000001</v>
      </c>
      <c r="F7" s="50">
        <v>0</v>
      </c>
      <c r="G7" s="47">
        <v>750</v>
      </c>
      <c r="H7" s="59"/>
      <c r="I7" s="59">
        <v>750</v>
      </c>
      <c r="J7" s="59"/>
      <c r="K7" s="59"/>
      <c r="L7" s="59"/>
      <c r="M7" s="59"/>
      <c r="N7" s="59"/>
      <c r="O7" s="36">
        <v>0</v>
      </c>
      <c r="P7" s="36">
        <v>750</v>
      </c>
      <c r="Q7" s="36"/>
      <c r="R7" s="50"/>
      <c r="S7" s="50"/>
      <c r="T7" s="50"/>
      <c r="U7" s="50"/>
      <c r="V7" s="34">
        <v>0</v>
      </c>
      <c r="W7" s="34">
        <v>0</v>
      </c>
      <c r="X7" s="34"/>
      <c r="Y7" s="34"/>
      <c r="Z7" s="34"/>
      <c r="AA7" s="34"/>
      <c r="AB7" s="34"/>
      <c r="AC7" s="34"/>
      <c r="AD7" s="34">
        <v>0</v>
      </c>
      <c r="AE7" s="34"/>
      <c r="AF7" s="34"/>
      <c r="AG7" s="34"/>
      <c r="AH7" s="34"/>
      <c r="AI7" s="47"/>
      <c r="AJ7" s="47"/>
      <c r="AK7" s="47">
        <v>13332</v>
      </c>
      <c r="AL7" s="47">
        <v>0</v>
      </c>
      <c r="AM7" s="47">
        <v>0</v>
      </c>
      <c r="AN7" s="92">
        <v>936</v>
      </c>
      <c r="AO7" s="47"/>
      <c r="AP7" s="47">
        <v>6000</v>
      </c>
      <c r="AQ7" s="96"/>
      <c r="AR7" s="96">
        <v>0</v>
      </c>
      <c r="AS7" s="47">
        <v>0</v>
      </c>
      <c r="AT7" s="47"/>
      <c r="AU7" s="93"/>
      <c r="AV7" s="47"/>
      <c r="AW7" s="47">
        <v>6000</v>
      </c>
      <c r="AX7" s="96">
        <v>936</v>
      </c>
      <c r="AY7" s="96"/>
      <c r="AZ7" s="47">
        <v>200</v>
      </c>
      <c r="BA7" s="47">
        <v>200</v>
      </c>
      <c r="BB7" s="47"/>
      <c r="BC7" s="47"/>
      <c r="BD7" s="47"/>
      <c r="BE7" s="47"/>
      <c r="BF7" s="96"/>
      <c r="BG7" s="96">
        <v>0</v>
      </c>
      <c r="BH7" s="47">
        <v>0</v>
      </c>
      <c r="BI7" s="47">
        <v>113</v>
      </c>
      <c r="BJ7" s="47">
        <v>87</v>
      </c>
      <c r="BK7" s="47"/>
      <c r="BL7" s="47"/>
      <c r="BM7" s="96"/>
      <c r="BN7" s="96">
        <v>0</v>
      </c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>
        <v>2.2999999999999998</v>
      </c>
      <c r="CH7" s="51">
        <v>0</v>
      </c>
      <c r="CI7" s="51"/>
      <c r="CJ7" s="51"/>
      <c r="CK7" s="51"/>
      <c r="CL7" s="51">
        <v>1.2</v>
      </c>
      <c r="CM7" s="51"/>
      <c r="CN7" s="51">
        <v>1.1000000000000001</v>
      </c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60"/>
      <c r="EB7" s="60"/>
      <c r="EC7" s="60"/>
      <c r="ED7" s="60"/>
      <c r="EE7" s="60"/>
      <c r="EF7" s="60"/>
      <c r="EG7" s="60"/>
      <c r="EH7" s="60"/>
      <c r="EI7" s="60"/>
      <c r="EJ7" s="35">
        <v>2.7</v>
      </c>
      <c r="EK7" s="51">
        <v>0.3</v>
      </c>
      <c r="EL7" s="51">
        <v>0.7</v>
      </c>
      <c r="EM7" s="51">
        <v>0.7</v>
      </c>
      <c r="EN7" s="51"/>
      <c r="EO7" s="51">
        <v>1</v>
      </c>
      <c r="EP7" s="51"/>
      <c r="EQ7" s="51">
        <v>0</v>
      </c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61"/>
      <c r="IF7" s="50">
        <f t="shared" ref="IF7:IF38" si="0">BX7+CG7+GB7+GK7+GT7</f>
        <v>2.2999999999999998</v>
      </c>
      <c r="IG7" s="50">
        <f t="shared" ref="IG7:IG38" si="1">BY7+CH7+GC7+GL7+GU7</f>
        <v>0</v>
      </c>
      <c r="IH7" s="50">
        <f t="shared" ref="IH7:IH38" si="2">BZ7+CI7+GD7+GM7+GV7</f>
        <v>0</v>
      </c>
      <c r="II7" s="50">
        <f t="shared" ref="II7:II38" si="3">CA7+CJ7+GE7+GN7+GW7</f>
        <v>0</v>
      </c>
      <c r="IJ7" s="50">
        <f>CB7+CK7+GF7+GO7+GX7</f>
        <v>0</v>
      </c>
      <c r="IK7" s="50">
        <f>CC7+CL7+GG7+GP7+GY7</f>
        <v>1.2</v>
      </c>
      <c r="IL7" s="50">
        <f>CD7+CM7+GH7+GQ7+GZ7</f>
        <v>0</v>
      </c>
      <c r="IM7" s="50">
        <f>CE7+CN7+GI7+GR7+HA7</f>
        <v>1.1000000000000001</v>
      </c>
      <c r="IN7" s="47">
        <f t="shared" ref="IN7:IU7" si="4">CQ7+EA7+EJ7+ES7</f>
        <v>2.7</v>
      </c>
      <c r="IO7" s="47">
        <f t="shared" si="4"/>
        <v>0.3</v>
      </c>
      <c r="IP7" s="47">
        <f t="shared" si="4"/>
        <v>0.7</v>
      </c>
      <c r="IQ7" s="47">
        <f t="shared" si="4"/>
        <v>0.7</v>
      </c>
      <c r="IR7" s="47">
        <f t="shared" si="4"/>
        <v>0</v>
      </c>
      <c r="IS7" s="47">
        <f t="shared" si="4"/>
        <v>1</v>
      </c>
      <c r="IT7" s="95">
        <f t="shared" si="4"/>
        <v>0</v>
      </c>
      <c r="IU7" s="95">
        <f t="shared" si="4"/>
        <v>0</v>
      </c>
      <c r="IV7" s="50">
        <v>0</v>
      </c>
      <c r="IW7" s="52">
        <v>1</v>
      </c>
      <c r="IX7" s="50"/>
      <c r="IY7" s="4"/>
      <c r="IZ7" s="4"/>
    </row>
    <row r="8" spans="1:260" s="5" customFormat="1" ht="15.95" customHeight="1">
      <c r="A8" s="6">
        <v>2</v>
      </c>
      <c r="B8" s="46" t="s">
        <v>68</v>
      </c>
      <c r="C8" s="46" t="s">
        <v>66</v>
      </c>
      <c r="D8" s="46" t="s">
        <v>67</v>
      </c>
      <c r="E8" s="36">
        <v>20.100000000000001</v>
      </c>
      <c r="F8" s="36">
        <v>0</v>
      </c>
      <c r="G8" s="34">
        <f>500+250</f>
        <v>750</v>
      </c>
      <c r="H8" s="59"/>
      <c r="I8" s="59">
        <v>500</v>
      </c>
      <c r="J8" s="59"/>
      <c r="K8" s="59"/>
      <c r="L8" s="59"/>
      <c r="M8" s="59"/>
      <c r="N8" s="59"/>
      <c r="O8" s="36">
        <v>0</v>
      </c>
      <c r="P8" s="36">
        <v>500</v>
      </c>
      <c r="Q8" s="36"/>
      <c r="R8" s="36"/>
      <c r="S8" s="36"/>
      <c r="T8" s="36"/>
      <c r="U8" s="36"/>
      <c r="V8" s="34">
        <v>633</v>
      </c>
      <c r="W8" s="34"/>
      <c r="X8" s="34">
        <v>633</v>
      </c>
      <c r="Y8" s="34"/>
      <c r="Z8" s="34"/>
      <c r="AA8" s="34">
        <v>633</v>
      </c>
      <c r="AB8" s="34"/>
      <c r="AC8" s="34"/>
      <c r="AD8" s="34">
        <v>0</v>
      </c>
      <c r="AE8" s="34"/>
      <c r="AF8" s="34">
        <v>120</v>
      </c>
      <c r="AG8" s="34"/>
      <c r="AH8" s="34">
        <v>633</v>
      </c>
      <c r="AI8" s="34"/>
      <c r="AJ8" s="34">
        <v>513</v>
      </c>
      <c r="AK8" s="34">
        <v>1198</v>
      </c>
      <c r="AL8" s="47">
        <v>0</v>
      </c>
      <c r="AM8" s="47"/>
      <c r="AN8" s="93">
        <v>200</v>
      </c>
      <c r="AO8" s="47"/>
      <c r="AP8" s="47"/>
      <c r="AQ8" s="96">
        <v>998</v>
      </c>
      <c r="AR8" s="96">
        <v>200</v>
      </c>
      <c r="AS8" s="47">
        <v>0</v>
      </c>
      <c r="AT8" s="47"/>
      <c r="AU8" s="93"/>
      <c r="AV8" s="47"/>
      <c r="AW8" s="47"/>
      <c r="AX8" s="96"/>
      <c r="AY8" s="96">
        <v>1398</v>
      </c>
      <c r="AZ8" s="34">
        <v>0</v>
      </c>
      <c r="BA8" s="34">
        <v>0</v>
      </c>
      <c r="BB8" s="47"/>
      <c r="BC8" s="47"/>
      <c r="BD8" s="47"/>
      <c r="BE8" s="47"/>
      <c r="BF8" s="96"/>
      <c r="BG8" s="96">
        <v>30</v>
      </c>
      <c r="BH8" s="47">
        <v>0</v>
      </c>
      <c r="BI8" s="47"/>
      <c r="BJ8" s="47"/>
      <c r="BK8" s="47"/>
      <c r="BL8" s="47"/>
      <c r="BM8" s="96"/>
      <c r="BN8" s="96">
        <v>30</v>
      </c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>
        <v>2.2000000000000002</v>
      </c>
      <c r="CH8" s="35">
        <v>0</v>
      </c>
      <c r="CI8" s="35"/>
      <c r="CJ8" s="35"/>
      <c r="CK8" s="35"/>
      <c r="CL8" s="35">
        <v>0.5</v>
      </c>
      <c r="CM8" s="51"/>
      <c r="CN8" s="51">
        <v>1.7</v>
      </c>
      <c r="CO8" s="51"/>
      <c r="CP8" s="51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53"/>
      <c r="EB8" s="53"/>
      <c r="EC8" s="53"/>
      <c r="ED8" s="53"/>
      <c r="EE8" s="53"/>
      <c r="EF8" s="53"/>
      <c r="EG8" s="53"/>
      <c r="EH8" s="53"/>
      <c r="EI8" s="53"/>
      <c r="EJ8" s="35">
        <v>3</v>
      </c>
      <c r="EK8" s="35">
        <v>0</v>
      </c>
      <c r="EL8" s="35"/>
      <c r="EM8" s="35"/>
      <c r="EN8" s="35"/>
      <c r="EO8" s="35">
        <v>3</v>
      </c>
      <c r="EP8" s="51"/>
      <c r="EQ8" s="51">
        <v>0</v>
      </c>
      <c r="ER8" s="51"/>
      <c r="ES8" s="62"/>
      <c r="ET8" s="62"/>
      <c r="EU8" s="62"/>
      <c r="EV8" s="62"/>
      <c r="EW8" s="62"/>
      <c r="EX8" s="62"/>
      <c r="EY8" s="62"/>
      <c r="EZ8" s="62"/>
      <c r="FA8" s="62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57"/>
      <c r="IF8" s="50">
        <f t="shared" si="0"/>
        <v>2.2000000000000002</v>
      </c>
      <c r="IG8" s="50">
        <f t="shared" si="1"/>
        <v>0</v>
      </c>
      <c r="IH8" s="50">
        <f t="shared" si="2"/>
        <v>0</v>
      </c>
      <c r="II8" s="50">
        <f t="shared" si="3"/>
        <v>0</v>
      </c>
      <c r="IJ8" s="50">
        <f t="shared" ref="IJ8:IJ37" si="5">CB8+CK8+GF8+GO8+GX8</f>
        <v>0</v>
      </c>
      <c r="IK8" s="50">
        <f t="shared" ref="IK8:IK37" si="6">CC8+CL8+GG8+GP8+GY8</f>
        <v>0.5</v>
      </c>
      <c r="IL8" s="50">
        <f t="shared" ref="IL8:IL71" si="7">CD8+CM8+GH8+GQ8+GZ8</f>
        <v>0</v>
      </c>
      <c r="IM8" s="50">
        <f t="shared" ref="IM8:IM71" si="8">CE8+CN8+GI8+GR8+HA8</f>
        <v>1.7</v>
      </c>
      <c r="IN8" s="47">
        <f t="shared" ref="IN8:IN39" si="9">CQ8+EA8+EJ8+ES8</f>
        <v>3</v>
      </c>
      <c r="IO8" s="47">
        <f t="shared" ref="IO8:IO39" si="10">CR8+EB8+EK8+ET8</f>
        <v>0</v>
      </c>
      <c r="IP8" s="47">
        <f t="shared" ref="IP8:IP39" si="11">CS8+EC8+EL8+EU8</f>
        <v>0</v>
      </c>
      <c r="IQ8" s="47">
        <f t="shared" ref="IQ8:IQ39" si="12">CT8+ED8+EM8+EV8</f>
        <v>0</v>
      </c>
      <c r="IR8" s="47">
        <f t="shared" ref="IR8:IR39" si="13">CU8+EE8+EN8+EW8</f>
        <v>0</v>
      </c>
      <c r="IS8" s="47">
        <f t="shared" ref="IS8:IS39" si="14">CV8+EF8+EO8+EX8</f>
        <v>3</v>
      </c>
      <c r="IT8" s="95">
        <f t="shared" ref="IT8:IT39" si="15">CW8+EG8+EP8+EY8</f>
        <v>0</v>
      </c>
      <c r="IU8" s="95">
        <f t="shared" ref="IU8:IU71" si="16">CX8+EH8+EQ8+EZ8</f>
        <v>0</v>
      </c>
      <c r="IV8" s="36">
        <v>3.7</v>
      </c>
      <c r="IW8" s="52">
        <v>1</v>
      </c>
      <c r="IX8" s="36"/>
      <c r="IY8" s="4"/>
      <c r="IZ8" s="4"/>
    </row>
    <row r="9" spans="1:260" s="5" customFormat="1" ht="15.95" customHeight="1">
      <c r="A9" s="6">
        <v>3</v>
      </c>
      <c r="B9" s="46" t="s">
        <v>69</v>
      </c>
      <c r="C9" s="46" t="s">
        <v>66</v>
      </c>
      <c r="D9" s="46" t="s">
        <v>67</v>
      </c>
      <c r="E9" s="36">
        <v>19.600000000000001</v>
      </c>
      <c r="F9" s="36">
        <v>12.5</v>
      </c>
      <c r="G9" s="34">
        <f>1500+600</f>
        <v>2100</v>
      </c>
      <c r="H9" s="59"/>
      <c r="I9" s="59">
        <v>1500</v>
      </c>
      <c r="J9" s="59"/>
      <c r="K9" s="59"/>
      <c r="L9" s="59"/>
      <c r="M9" s="59"/>
      <c r="N9" s="59"/>
      <c r="O9" s="36">
        <v>750</v>
      </c>
      <c r="P9" s="36">
        <v>750</v>
      </c>
      <c r="Q9" s="36"/>
      <c r="R9" s="36"/>
      <c r="S9" s="36"/>
      <c r="T9" s="36"/>
      <c r="U9" s="36"/>
      <c r="V9" s="34">
        <v>703</v>
      </c>
      <c r="W9" s="34">
        <v>0</v>
      </c>
      <c r="X9" s="34">
        <v>703</v>
      </c>
      <c r="Y9" s="34"/>
      <c r="Z9" s="34"/>
      <c r="AA9" s="34"/>
      <c r="AB9" s="34"/>
      <c r="AC9" s="34"/>
      <c r="AD9" s="34">
        <v>0</v>
      </c>
      <c r="AE9" s="34"/>
      <c r="AF9" s="34">
        <v>120</v>
      </c>
      <c r="AG9" s="34"/>
      <c r="AH9" s="34"/>
      <c r="AI9" s="34"/>
      <c r="AJ9" s="34">
        <v>583</v>
      </c>
      <c r="AK9" s="34">
        <v>2917</v>
      </c>
      <c r="AL9" s="47">
        <v>0</v>
      </c>
      <c r="AM9" s="47"/>
      <c r="AN9" s="93">
        <v>599</v>
      </c>
      <c r="AO9" s="47"/>
      <c r="AP9" s="47"/>
      <c r="AQ9" s="96">
        <v>1413</v>
      </c>
      <c r="AR9" s="96">
        <v>599</v>
      </c>
      <c r="AS9" s="47">
        <v>0</v>
      </c>
      <c r="AT9" s="47"/>
      <c r="AU9" s="93"/>
      <c r="AV9" s="47"/>
      <c r="AW9" s="47"/>
      <c r="AX9" s="96"/>
      <c r="AY9" s="96">
        <v>2611</v>
      </c>
      <c r="AZ9" s="34">
        <v>113</v>
      </c>
      <c r="BA9" s="34">
        <v>113</v>
      </c>
      <c r="BB9" s="47"/>
      <c r="BC9" s="47"/>
      <c r="BD9" s="47"/>
      <c r="BE9" s="47"/>
      <c r="BF9" s="96"/>
      <c r="BG9" s="96">
        <v>0</v>
      </c>
      <c r="BH9" s="47">
        <v>0</v>
      </c>
      <c r="BI9" s="47">
        <v>50</v>
      </c>
      <c r="BJ9" s="47">
        <v>63</v>
      </c>
      <c r="BK9" s="47"/>
      <c r="BL9" s="47"/>
      <c r="BM9" s="96"/>
      <c r="BN9" s="96">
        <v>0</v>
      </c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>
        <v>2.4</v>
      </c>
      <c r="CH9" s="35">
        <v>0</v>
      </c>
      <c r="CI9" s="35"/>
      <c r="CJ9" s="35"/>
      <c r="CK9" s="35"/>
      <c r="CL9" s="35">
        <v>0.5</v>
      </c>
      <c r="CM9" s="51"/>
      <c r="CN9" s="51">
        <v>1.9</v>
      </c>
      <c r="CO9" s="51"/>
      <c r="CP9" s="51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53"/>
      <c r="EB9" s="53"/>
      <c r="EC9" s="53"/>
      <c r="ED9" s="53"/>
      <c r="EE9" s="53"/>
      <c r="EF9" s="53"/>
      <c r="EG9" s="53"/>
      <c r="EH9" s="53"/>
      <c r="EI9" s="53"/>
      <c r="EJ9" s="35">
        <v>2.6</v>
      </c>
      <c r="EK9" s="35">
        <v>0.5</v>
      </c>
      <c r="EL9" s="35">
        <v>0.5</v>
      </c>
      <c r="EM9" s="35"/>
      <c r="EN9" s="35"/>
      <c r="EO9" s="35"/>
      <c r="EP9" s="51">
        <v>1</v>
      </c>
      <c r="EQ9" s="51">
        <v>0.6</v>
      </c>
      <c r="ER9" s="51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57"/>
      <c r="IF9" s="50">
        <f t="shared" si="0"/>
        <v>2.4</v>
      </c>
      <c r="IG9" s="50">
        <f t="shared" si="1"/>
        <v>0</v>
      </c>
      <c r="IH9" s="50">
        <f t="shared" si="2"/>
        <v>0</v>
      </c>
      <c r="II9" s="50">
        <f t="shared" si="3"/>
        <v>0</v>
      </c>
      <c r="IJ9" s="50">
        <f t="shared" si="5"/>
        <v>0</v>
      </c>
      <c r="IK9" s="50">
        <f t="shared" si="6"/>
        <v>0.5</v>
      </c>
      <c r="IL9" s="50">
        <f t="shared" si="7"/>
        <v>0</v>
      </c>
      <c r="IM9" s="50">
        <f t="shared" si="8"/>
        <v>1.9</v>
      </c>
      <c r="IN9" s="47">
        <f t="shared" si="9"/>
        <v>2.6</v>
      </c>
      <c r="IO9" s="47">
        <f t="shared" si="10"/>
        <v>0.5</v>
      </c>
      <c r="IP9" s="47">
        <f t="shared" si="11"/>
        <v>0.5</v>
      </c>
      <c r="IQ9" s="47">
        <f t="shared" si="12"/>
        <v>0</v>
      </c>
      <c r="IR9" s="47">
        <f t="shared" si="13"/>
        <v>0</v>
      </c>
      <c r="IS9" s="47">
        <f t="shared" si="14"/>
        <v>0</v>
      </c>
      <c r="IT9" s="95">
        <f t="shared" si="15"/>
        <v>1</v>
      </c>
      <c r="IU9" s="95">
        <f t="shared" si="16"/>
        <v>0.6</v>
      </c>
      <c r="IV9" s="36">
        <v>0</v>
      </c>
      <c r="IW9" s="52">
        <v>1</v>
      </c>
      <c r="IX9" s="36"/>
      <c r="IY9" s="4"/>
      <c r="IZ9" s="4"/>
    </row>
    <row r="10" spans="1:260" s="5" customFormat="1" ht="15.95" customHeight="1">
      <c r="A10" s="6">
        <v>4</v>
      </c>
      <c r="B10" s="46" t="s">
        <v>70</v>
      </c>
      <c r="C10" s="46" t="s">
        <v>66</v>
      </c>
      <c r="D10" s="46" t="s">
        <v>67</v>
      </c>
      <c r="E10" s="36">
        <v>17.899999999999999</v>
      </c>
      <c r="F10" s="36">
        <v>12.5</v>
      </c>
      <c r="G10" s="34">
        <f>1500+800</f>
        <v>2300</v>
      </c>
      <c r="H10" s="59"/>
      <c r="I10" s="59">
        <v>1500</v>
      </c>
      <c r="J10" s="59"/>
      <c r="K10" s="59"/>
      <c r="L10" s="59"/>
      <c r="M10" s="59"/>
      <c r="N10" s="59"/>
      <c r="O10" s="36">
        <v>750</v>
      </c>
      <c r="P10" s="36">
        <v>750</v>
      </c>
      <c r="Q10" s="36"/>
      <c r="R10" s="36"/>
      <c r="S10" s="36"/>
      <c r="T10" s="36"/>
      <c r="U10" s="36"/>
      <c r="V10" s="34">
        <v>0</v>
      </c>
      <c r="W10" s="34">
        <v>0</v>
      </c>
      <c r="X10" s="34"/>
      <c r="Y10" s="34"/>
      <c r="Z10" s="34"/>
      <c r="AA10" s="34"/>
      <c r="AB10" s="34"/>
      <c r="AC10" s="34"/>
      <c r="AD10" s="34">
        <v>0</v>
      </c>
      <c r="AE10" s="34"/>
      <c r="AF10" s="34"/>
      <c r="AG10" s="34"/>
      <c r="AH10" s="34"/>
      <c r="AI10" s="34"/>
      <c r="AJ10" s="34"/>
      <c r="AK10" s="34">
        <v>2670</v>
      </c>
      <c r="AL10" s="47">
        <v>0</v>
      </c>
      <c r="AM10" s="47"/>
      <c r="AN10" s="93">
        <v>299</v>
      </c>
      <c r="AO10" s="47"/>
      <c r="AP10" s="47"/>
      <c r="AQ10" s="96">
        <v>1803</v>
      </c>
      <c r="AR10" s="96">
        <v>299</v>
      </c>
      <c r="AS10" s="47">
        <v>0</v>
      </c>
      <c r="AT10" s="47"/>
      <c r="AU10" s="93"/>
      <c r="AV10" s="47"/>
      <c r="AW10" s="47"/>
      <c r="AX10" s="96"/>
      <c r="AY10" s="96">
        <v>2401</v>
      </c>
      <c r="AZ10" s="34">
        <v>289</v>
      </c>
      <c r="BA10" s="34">
        <v>113</v>
      </c>
      <c r="BB10" s="47"/>
      <c r="BC10" s="47"/>
      <c r="BD10" s="47"/>
      <c r="BE10" s="47"/>
      <c r="BF10" s="96"/>
      <c r="BG10" s="96">
        <v>0</v>
      </c>
      <c r="BH10" s="47">
        <v>0</v>
      </c>
      <c r="BI10" s="47">
        <v>50</v>
      </c>
      <c r="BJ10" s="47">
        <v>63</v>
      </c>
      <c r="BK10" s="47"/>
      <c r="BL10" s="47"/>
      <c r="BM10" s="96"/>
      <c r="BN10" s="96">
        <v>0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>
        <v>0.8</v>
      </c>
      <c r="CH10" s="35"/>
      <c r="CI10" s="35"/>
      <c r="CJ10" s="35"/>
      <c r="CK10" s="35"/>
      <c r="CL10" s="35">
        <v>0</v>
      </c>
      <c r="CM10" s="51"/>
      <c r="CN10" s="51">
        <v>0.8</v>
      </c>
      <c r="CO10" s="51"/>
      <c r="CP10" s="51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53"/>
      <c r="EB10" s="53"/>
      <c r="EC10" s="53"/>
      <c r="ED10" s="53"/>
      <c r="EE10" s="53"/>
      <c r="EF10" s="53"/>
      <c r="EG10" s="53"/>
      <c r="EH10" s="53"/>
      <c r="EI10" s="53"/>
      <c r="EJ10" s="35">
        <v>2</v>
      </c>
      <c r="EK10" s="35">
        <v>0</v>
      </c>
      <c r="EL10" s="35">
        <v>0.5</v>
      </c>
      <c r="EM10" s="35">
        <v>0.5</v>
      </c>
      <c r="EN10" s="35"/>
      <c r="EO10" s="35">
        <v>0.5</v>
      </c>
      <c r="EP10" s="51">
        <v>0.5</v>
      </c>
      <c r="EQ10" s="51">
        <v>0</v>
      </c>
      <c r="ER10" s="51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57"/>
      <c r="IF10" s="50">
        <f t="shared" si="0"/>
        <v>0.8</v>
      </c>
      <c r="IG10" s="50">
        <f t="shared" si="1"/>
        <v>0</v>
      </c>
      <c r="IH10" s="50">
        <f t="shared" si="2"/>
        <v>0</v>
      </c>
      <c r="II10" s="50">
        <f t="shared" si="3"/>
        <v>0</v>
      </c>
      <c r="IJ10" s="50">
        <f t="shared" si="5"/>
        <v>0</v>
      </c>
      <c r="IK10" s="50">
        <f t="shared" si="6"/>
        <v>0</v>
      </c>
      <c r="IL10" s="50">
        <f t="shared" si="7"/>
        <v>0</v>
      </c>
      <c r="IM10" s="50">
        <f t="shared" si="8"/>
        <v>0.8</v>
      </c>
      <c r="IN10" s="47">
        <f t="shared" si="9"/>
        <v>2</v>
      </c>
      <c r="IO10" s="47">
        <f t="shared" si="10"/>
        <v>0</v>
      </c>
      <c r="IP10" s="47">
        <f t="shared" si="11"/>
        <v>0.5</v>
      </c>
      <c r="IQ10" s="47">
        <f t="shared" si="12"/>
        <v>0.5</v>
      </c>
      <c r="IR10" s="47">
        <f t="shared" si="13"/>
        <v>0</v>
      </c>
      <c r="IS10" s="47">
        <f t="shared" si="14"/>
        <v>0.5</v>
      </c>
      <c r="IT10" s="95">
        <f t="shared" si="15"/>
        <v>0.5</v>
      </c>
      <c r="IU10" s="95">
        <f t="shared" si="16"/>
        <v>0</v>
      </c>
      <c r="IV10" s="36">
        <v>1.6</v>
      </c>
      <c r="IW10" s="52">
        <v>1</v>
      </c>
      <c r="IX10" s="36"/>
      <c r="IY10" s="4"/>
      <c r="IZ10" s="4"/>
    </row>
    <row r="11" spans="1:260" s="5" customFormat="1" ht="15.95" customHeight="1">
      <c r="A11" s="12">
        <v>5</v>
      </c>
      <c r="B11" s="46" t="s">
        <v>71</v>
      </c>
      <c r="C11" s="46" t="s">
        <v>66</v>
      </c>
      <c r="D11" s="46" t="s">
        <v>67</v>
      </c>
      <c r="E11" s="36">
        <v>18</v>
      </c>
      <c r="F11" s="36">
        <v>4</v>
      </c>
      <c r="G11" s="34">
        <v>750</v>
      </c>
      <c r="H11" s="59"/>
      <c r="I11" s="59">
        <v>750</v>
      </c>
      <c r="J11" s="59"/>
      <c r="K11" s="59"/>
      <c r="L11" s="59"/>
      <c r="M11" s="59"/>
      <c r="N11" s="59"/>
      <c r="O11" s="36">
        <v>250</v>
      </c>
      <c r="P11" s="36">
        <v>0</v>
      </c>
      <c r="Q11" s="36">
        <v>250</v>
      </c>
      <c r="R11" s="36"/>
      <c r="S11" s="36"/>
      <c r="T11" s="36">
        <v>250</v>
      </c>
      <c r="U11" s="36"/>
      <c r="V11" s="34">
        <v>0</v>
      </c>
      <c r="W11" s="34">
        <v>0</v>
      </c>
      <c r="X11" s="34"/>
      <c r="Y11" s="34"/>
      <c r="Z11" s="34"/>
      <c r="AA11" s="34"/>
      <c r="AB11" s="34"/>
      <c r="AC11" s="34"/>
      <c r="AD11" s="34">
        <v>0</v>
      </c>
      <c r="AE11" s="34"/>
      <c r="AF11" s="34"/>
      <c r="AG11" s="34"/>
      <c r="AH11" s="34"/>
      <c r="AI11" s="34"/>
      <c r="AJ11" s="34"/>
      <c r="AK11" s="34">
        <v>2540</v>
      </c>
      <c r="AL11" s="47">
        <v>0</v>
      </c>
      <c r="AM11" s="47"/>
      <c r="AN11" s="93">
        <v>820</v>
      </c>
      <c r="AO11" s="47">
        <v>720</v>
      </c>
      <c r="AP11" s="47">
        <v>1540</v>
      </c>
      <c r="AQ11" s="96"/>
      <c r="AR11" s="96">
        <v>0</v>
      </c>
      <c r="AS11" s="47">
        <v>0</v>
      </c>
      <c r="AT11" s="47"/>
      <c r="AU11" s="93"/>
      <c r="AV11" s="47"/>
      <c r="AW11" s="47">
        <v>1540</v>
      </c>
      <c r="AX11" s="96">
        <v>980</v>
      </c>
      <c r="AY11" s="96">
        <v>560</v>
      </c>
      <c r="AZ11" s="34">
        <v>125</v>
      </c>
      <c r="BA11" s="34">
        <v>125</v>
      </c>
      <c r="BB11" s="47"/>
      <c r="BC11" s="47"/>
      <c r="BD11" s="47"/>
      <c r="BE11" s="47"/>
      <c r="BF11" s="96"/>
      <c r="BG11" s="96">
        <v>0</v>
      </c>
      <c r="BH11" s="47">
        <v>0</v>
      </c>
      <c r="BI11" s="47">
        <v>0</v>
      </c>
      <c r="BJ11" s="47"/>
      <c r="BK11" s="47"/>
      <c r="BL11" s="47"/>
      <c r="BM11" s="96">
        <v>125</v>
      </c>
      <c r="BN11" s="96">
        <v>0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>
        <v>1.6</v>
      </c>
      <c r="CH11" s="35"/>
      <c r="CI11" s="35"/>
      <c r="CJ11" s="35"/>
      <c r="CK11" s="35"/>
      <c r="CL11" s="35">
        <v>0.5</v>
      </c>
      <c r="CM11" s="51"/>
      <c r="CN11" s="51">
        <v>1.1000000000000001</v>
      </c>
      <c r="CO11" s="51"/>
      <c r="CP11" s="51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53"/>
      <c r="EB11" s="53"/>
      <c r="EC11" s="53"/>
      <c r="ED11" s="53"/>
      <c r="EE11" s="53"/>
      <c r="EF11" s="53"/>
      <c r="EG11" s="53"/>
      <c r="EH11" s="53"/>
      <c r="EI11" s="53"/>
      <c r="EJ11" s="35">
        <v>1</v>
      </c>
      <c r="EK11" s="35">
        <v>0</v>
      </c>
      <c r="EL11" s="35">
        <v>0.5</v>
      </c>
      <c r="EM11" s="35">
        <v>0.5</v>
      </c>
      <c r="EN11" s="35"/>
      <c r="EO11" s="35"/>
      <c r="EP11" s="51"/>
      <c r="EQ11" s="51">
        <v>0</v>
      </c>
      <c r="ER11" s="51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57"/>
      <c r="IF11" s="50">
        <f t="shared" si="0"/>
        <v>1.6</v>
      </c>
      <c r="IG11" s="50">
        <f t="shared" si="1"/>
        <v>0</v>
      </c>
      <c r="IH11" s="50">
        <f t="shared" si="2"/>
        <v>0</v>
      </c>
      <c r="II11" s="50">
        <f t="shared" si="3"/>
        <v>0</v>
      </c>
      <c r="IJ11" s="50">
        <f t="shared" si="5"/>
        <v>0</v>
      </c>
      <c r="IK11" s="50">
        <f t="shared" si="6"/>
        <v>0.5</v>
      </c>
      <c r="IL11" s="50">
        <f t="shared" si="7"/>
        <v>0</v>
      </c>
      <c r="IM11" s="50">
        <f t="shared" si="8"/>
        <v>1.1000000000000001</v>
      </c>
      <c r="IN11" s="47">
        <f t="shared" si="9"/>
        <v>1</v>
      </c>
      <c r="IO11" s="47">
        <f t="shared" si="10"/>
        <v>0</v>
      </c>
      <c r="IP11" s="47">
        <f t="shared" si="11"/>
        <v>0.5</v>
      </c>
      <c r="IQ11" s="47">
        <f t="shared" si="12"/>
        <v>0.5</v>
      </c>
      <c r="IR11" s="47">
        <f t="shared" si="13"/>
        <v>0</v>
      </c>
      <c r="IS11" s="47">
        <f t="shared" si="14"/>
        <v>0</v>
      </c>
      <c r="IT11" s="95">
        <f t="shared" si="15"/>
        <v>0</v>
      </c>
      <c r="IU11" s="95">
        <f t="shared" si="16"/>
        <v>0</v>
      </c>
      <c r="IV11" s="36">
        <v>3.9</v>
      </c>
      <c r="IW11" s="52">
        <v>1</v>
      </c>
      <c r="IX11" s="36"/>
      <c r="IY11" s="4"/>
      <c r="IZ11" s="4"/>
    </row>
    <row r="12" spans="1:260" s="5" customFormat="1" ht="15.95" customHeight="1">
      <c r="A12" s="6">
        <v>6</v>
      </c>
      <c r="B12" s="46" t="s">
        <v>72</v>
      </c>
      <c r="C12" s="46" t="s">
        <v>66</v>
      </c>
      <c r="D12" s="46" t="s">
        <v>73</v>
      </c>
      <c r="E12" s="36">
        <v>17.899999999999999</v>
      </c>
      <c r="F12" s="36">
        <v>29.8</v>
      </c>
      <c r="G12" s="34">
        <f>1000+600</f>
        <v>1600</v>
      </c>
      <c r="H12" s="59"/>
      <c r="I12" s="59">
        <v>1000</v>
      </c>
      <c r="J12" s="59"/>
      <c r="K12" s="59"/>
      <c r="L12" s="59"/>
      <c r="M12" s="59"/>
      <c r="N12" s="59"/>
      <c r="O12" s="36">
        <v>0</v>
      </c>
      <c r="P12" s="36">
        <v>0</v>
      </c>
      <c r="Q12" s="36">
        <v>1000</v>
      </c>
      <c r="R12" s="36"/>
      <c r="S12" s="36"/>
      <c r="T12" s="36"/>
      <c r="U12" s="36"/>
      <c r="V12" s="34">
        <v>0</v>
      </c>
      <c r="W12" s="34">
        <v>0</v>
      </c>
      <c r="X12" s="34"/>
      <c r="Y12" s="34"/>
      <c r="Z12" s="34"/>
      <c r="AA12" s="34"/>
      <c r="AB12" s="34"/>
      <c r="AC12" s="34"/>
      <c r="AD12" s="34">
        <v>0</v>
      </c>
      <c r="AE12" s="34"/>
      <c r="AF12" s="34"/>
      <c r="AG12" s="34"/>
      <c r="AH12" s="34"/>
      <c r="AI12" s="34"/>
      <c r="AJ12" s="34"/>
      <c r="AK12" s="34">
        <v>2119</v>
      </c>
      <c r="AL12" s="47">
        <v>0</v>
      </c>
      <c r="AM12" s="47"/>
      <c r="AN12" s="93">
        <v>205</v>
      </c>
      <c r="AO12" s="47"/>
      <c r="AP12" s="47"/>
      <c r="AQ12" s="96">
        <v>1914</v>
      </c>
      <c r="AR12" s="96">
        <v>205</v>
      </c>
      <c r="AS12" s="47">
        <v>0</v>
      </c>
      <c r="AT12" s="47"/>
      <c r="AU12" s="93"/>
      <c r="AV12" s="47"/>
      <c r="AW12" s="47"/>
      <c r="AX12" s="96"/>
      <c r="AY12" s="96">
        <v>2324</v>
      </c>
      <c r="AZ12" s="34">
        <v>113</v>
      </c>
      <c r="BA12" s="34">
        <v>113</v>
      </c>
      <c r="BB12" s="47"/>
      <c r="BC12" s="47"/>
      <c r="BD12" s="47"/>
      <c r="BE12" s="47"/>
      <c r="BF12" s="96"/>
      <c r="BG12" s="96">
        <v>0</v>
      </c>
      <c r="BH12" s="47">
        <v>0</v>
      </c>
      <c r="BI12" s="47">
        <v>50</v>
      </c>
      <c r="BJ12" s="47">
        <v>63</v>
      </c>
      <c r="BK12" s="47"/>
      <c r="BL12" s="47"/>
      <c r="BM12" s="96"/>
      <c r="BN12" s="96">
        <v>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>
        <v>1.1000000000000001</v>
      </c>
      <c r="CH12" s="35"/>
      <c r="CI12" s="35"/>
      <c r="CJ12" s="35"/>
      <c r="CK12" s="35"/>
      <c r="CL12" s="35">
        <v>0.5</v>
      </c>
      <c r="CM12" s="51"/>
      <c r="CN12" s="51">
        <v>0.6</v>
      </c>
      <c r="CO12" s="51"/>
      <c r="CP12" s="51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53"/>
      <c r="EB12" s="53"/>
      <c r="EC12" s="53"/>
      <c r="ED12" s="53"/>
      <c r="EE12" s="53"/>
      <c r="EF12" s="53"/>
      <c r="EG12" s="53"/>
      <c r="EH12" s="53"/>
      <c r="EI12" s="53"/>
      <c r="EJ12" s="35">
        <v>2</v>
      </c>
      <c r="EK12" s="35">
        <v>0</v>
      </c>
      <c r="EL12" s="35">
        <v>0.5</v>
      </c>
      <c r="EM12" s="35"/>
      <c r="EN12" s="35"/>
      <c r="EO12" s="35"/>
      <c r="EP12" s="51"/>
      <c r="EQ12" s="51">
        <v>1.5</v>
      </c>
      <c r="ER12" s="51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57"/>
      <c r="IF12" s="50">
        <f t="shared" si="0"/>
        <v>1.1000000000000001</v>
      </c>
      <c r="IG12" s="50">
        <f t="shared" si="1"/>
        <v>0</v>
      </c>
      <c r="IH12" s="50">
        <f t="shared" si="2"/>
        <v>0</v>
      </c>
      <c r="II12" s="50">
        <f t="shared" si="3"/>
        <v>0</v>
      </c>
      <c r="IJ12" s="50">
        <f t="shared" si="5"/>
        <v>0</v>
      </c>
      <c r="IK12" s="50">
        <f t="shared" si="6"/>
        <v>0.5</v>
      </c>
      <c r="IL12" s="50">
        <f t="shared" si="7"/>
        <v>0</v>
      </c>
      <c r="IM12" s="50">
        <f t="shared" si="8"/>
        <v>0.6</v>
      </c>
      <c r="IN12" s="47">
        <f t="shared" si="9"/>
        <v>2</v>
      </c>
      <c r="IO12" s="47">
        <f t="shared" si="10"/>
        <v>0</v>
      </c>
      <c r="IP12" s="47">
        <f t="shared" si="11"/>
        <v>0.5</v>
      </c>
      <c r="IQ12" s="47">
        <f t="shared" si="12"/>
        <v>0</v>
      </c>
      <c r="IR12" s="47">
        <f t="shared" si="13"/>
        <v>0</v>
      </c>
      <c r="IS12" s="47">
        <f t="shared" si="14"/>
        <v>0</v>
      </c>
      <c r="IT12" s="95">
        <f t="shared" si="15"/>
        <v>0</v>
      </c>
      <c r="IU12" s="95">
        <f>CX12+EH12+EQ12+EZ12</f>
        <v>1.5</v>
      </c>
      <c r="IV12" s="36">
        <v>0</v>
      </c>
      <c r="IW12" s="52">
        <v>1</v>
      </c>
      <c r="IX12" s="36"/>
      <c r="IY12" s="4"/>
      <c r="IZ12" s="4"/>
    </row>
    <row r="13" spans="1:260" s="5" customFormat="1" ht="15.95" customHeight="1">
      <c r="A13" s="6">
        <v>7</v>
      </c>
      <c r="B13" s="46" t="s">
        <v>74</v>
      </c>
      <c r="C13" s="46" t="s">
        <v>66</v>
      </c>
      <c r="D13" s="46" t="s">
        <v>75</v>
      </c>
      <c r="E13" s="36">
        <v>86.7</v>
      </c>
      <c r="F13" s="36">
        <v>8.4</v>
      </c>
      <c r="G13" s="34">
        <v>1500</v>
      </c>
      <c r="H13" s="59"/>
      <c r="I13" s="59">
        <v>1500</v>
      </c>
      <c r="J13" s="59"/>
      <c r="K13" s="59"/>
      <c r="L13" s="59"/>
      <c r="M13" s="59"/>
      <c r="N13" s="59"/>
      <c r="O13" s="36">
        <v>500</v>
      </c>
      <c r="P13" s="36">
        <v>1000</v>
      </c>
      <c r="Q13" s="36"/>
      <c r="R13" s="36"/>
      <c r="S13" s="36"/>
      <c r="T13" s="36"/>
      <c r="U13" s="36"/>
      <c r="V13" s="34">
        <v>703</v>
      </c>
      <c r="W13" s="34">
        <v>0</v>
      </c>
      <c r="X13" s="34"/>
      <c r="Y13" s="34">
        <v>703</v>
      </c>
      <c r="Z13" s="34"/>
      <c r="AA13" s="34"/>
      <c r="AB13" s="34"/>
      <c r="AC13" s="34"/>
      <c r="AD13" s="34">
        <v>0</v>
      </c>
      <c r="AE13" s="34"/>
      <c r="AF13" s="34">
        <v>120</v>
      </c>
      <c r="AG13" s="34">
        <v>240</v>
      </c>
      <c r="AH13" s="34"/>
      <c r="AI13" s="34"/>
      <c r="AJ13" s="34">
        <v>343</v>
      </c>
      <c r="AK13" s="34">
        <v>4784</v>
      </c>
      <c r="AL13" s="47">
        <v>2079</v>
      </c>
      <c r="AM13" s="47"/>
      <c r="AN13" s="93">
        <v>288</v>
      </c>
      <c r="AO13" s="47"/>
      <c r="AP13" s="47"/>
      <c r="AQ13" s="96"/>
      <c r="AR13" s="96">
        <v>2417</v>
      </c>
      <c r="AS13" s="47">
        <v>0</v>
      </c>
      <c r="AT13" s="47">
        <v>1370</v>
      </c>
      <c r="AU13" s="93"/>
      <c r="AV13" s="47"/>
      <c r="AW13" s="47"/>
      <c r="AX13" s="96"/>
      <c r="AY13" s="96">
        <v>3414</v>
      </c>
      <c r="AZ13" s="34">
        <v>50</v>
      </c>
      <c r="BA13" s="34">
        <v>0</v>
      </c>
      <c r="BB13" s="47"/>
      <c r="BC13" s="47"/>
      <c r="BD13" s="47"/>
      <c r="BE13" s="47"/>
      <c r="BF13" s="96"/>
      <c r="BG13" s="96">
        <v>0</v>
      </c>
      <c r="BH13" s="47">
        <v>0</v>
      </c>
      <c r="BI13" s="47"/>
      <c r="BJ13" s="47"/>
      <c r="BK13" s="47"/>
      <c r="BL13" s="47"/>
      <c r="BM13" s="96"/>
      <c r="BN13" s="96">
        <v>0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>
        <v>1.6</v>
      </c>
      <c r="CH13" s="35">
        <v>0</v>
      </c>
      <c r="CI13" s="35"/>
      <c r="CJ13" s="35">
        <v>1</v>
      </c>
      <c r="CK13" s="35"/>
      <c r="CL13" s="35">
        <v>0</v>
      </c>
      <c r="CM13" s="51"/>
      <c r="CN13" s="51">
        <v>0.6</v>
      </c>
      <c r="CO13" s="51"/>
      <c r="CP13" s="51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53"/>
      <c r="EB13" s="53"/>
      <c r="EC13" s="53"/>
      <c r="ED13" s="53"/>
      <c r="EE13" s="53"/>
      <c r="EF13" s="53"/>
      <c r="EG13" s="53"/>
      <c r="EH13" s="53"/>
      <c r="EI13" s="53"/>
      <c r="EJ13" s="35">
        <v>9</v>
      </c>
      <c r="EK13" s="35">
        <v>0.6</v>
      </c>
      <c r="EL13" s="35">
        <v>0.3</v>
      </c>
      <c r="EM13" s="35"/>
      <c r="EN13" s="35"/>
      <c r="EO13" s="35"/>
      <c r="EP13" s="51">
        <v>3</v>
      </c>
      <c r="EQ13" s="51">
        <v>5.0999999999999996</v>
      </c>
      <c r="ER13" s="51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57"/>
      <c r="IF13" s="50">
        <f t="shared" si="0"/>
        <v>1.6</v>
      </c>
      <c r="IG13" s="50">
        <f t="shared" si="1"/>
        <v>0</v>
      </c>
      <c r="IH13" s="50">
        <f t="shared" si="2"/>
        <v>0</v>
      </c>
      <c r="II13" s="50">
        <f t="shared" si="3"/>
        <v>1</v>
      </c>
      <c r="IJ13" s="50">
        <f t="shared" si="5"/>
        <v>0</v>
      </c>
      <c r="IK13" s="50">
        <f t="shared" si="6"/>
        <v>0</v>
      </c>
      <c r="IL13" s="50">
        <f t="shared" si="7"/>
        <v>0</v>
      </c>
      <c r="IM13" s="50">
        <f t="shared" si="8"/>
        <v>0.6</v>
      </c>
      <c r="IN13" s="47">
        <f t="shared" si="9"/>
        <v>9</v>
      </c>
      <c r="IO13" s="47">
        <f t="shared" si="10"/>
        <v>0.6</v>
      </c>
      <c r="IP13" s="47">
        <f t="shared" si="11"/>
        <v>0.3</v>
      </c>
      <c r="IQ13" s="47">
        <f t="shared" si="12"/>
        <v>0</v>
      </c>
      <c r="IR13" s="47">
        <f t="shared" si="13"/>
        <v>0</v>
      </c>
      <c r="IS13" s="47">
        <f t="shared" si="14"/>
        <v>0</v>
      </c>
      <c r="IT13" s="95">
        <f t="shared" si="15"/>
        <v>3</v>
      </c>
      <c r="IU13" s="95">
        <f t="shared" si="16"/>
        <v>5.0999999999999996</v>
      </c>
      <c r="IV13" s="36">
        <v>20</v>
      </c>
      <c r="IW13" s="52">
        <v>1</v>
      </c>
      <c r="IX13" s="36"/>
      <c r="IY13" s="4"/>
      <c r="IZ13" s="4"/>
    </row>
    <row r="14" spans="1:260" s="5" customFormat="1" ht="15.95" customHeight="1">
      <c r="A14" s="6">
        <v>8</v>
      </c>
      <c r="B14" s="46" t="s">
        <v>76</v>
      </c>
      <c r="C14" s="46" t="s">
        <v>66</v>
      </c>
      <c r="D14" s="46" t="s">
        <v>75</v>
      </c>
      <c r="E14" s="36">
        <v>19.3</v>
      </c>
      <c r="F14" s="36">
        <v>25</v>
      </c>
      <c r="G14" s="34">
        <v>1500</v>
      </c>
      <c r="H14" s="59"/>
      <c r="I14" s="59">
        <v>1500</v>
      </c>
      <c r="J14" s="59"/>
      <c r="K14" s="59"/>
      <c r="L14" s="59"/>
      <c r="M14" s="59"/>
      <c r="N14" s="59"/>
      <c r="O14" s="36">
        <v>1500</v>
      </c>
      <c r="P14" s="36"/>
      <c r="Q14" s="36"/>
      <c r="R14" s="36"/>
      <c r="S14" s="36"/>
      <c r="T14" s="36"/>
      <c r="U14" s="36"/>
      <c r="V14" s="34">
        <v>703</v>
      </c>
      <c r="W14" s="34">
        <v>0</v>
      </c>
      <c r="X14" s="34"/>
      <c r="Y14" s="34">
        <v>703</v>
      </c>
      <c r="Z14" s="34"/>
      <c r="AA14" s="34"/>
      <c r="AB14" s="34"/>
      <c r="AC14" s="34"/>
      <c r="AD14" s="34">
        <v>0</v>
      </c>
      <c r="AE14" s="34"/>
      <c r="AF14" s="34">
        <v>300</v>
      </c>
      <c r="AG14" s="34">
        <v>120</v>
      </c>
      <c r="AH14" s="34"/>
      <c r="AI14" s="34"/>
      <c r="AJ14" s="34">
        <v>283</v>
      </c>
      <c r="AK14" s="34">
        <v>6284</v>
      </c>
      <c r="AL14" s="47">
        <v>1774</v>
      </c>
      <c r="AM14" s="47"/>
      <c r="AN14" s="93">
        <v>625</v>
      </c>
      <c r="AO14" s="47"/>
      <c r="AP14" s="47"/>
      <c r="AQ14" s="96"/>
      <c r="AR14" s="96">
        <v>3885</v>
      </c>
      <c r="AS14" s="47">
        <v>0</v>
      </c>
      <c r="AT14" s="47">
        <v>700</v>
      </c>
      <c r="AU14" s="93">
        <v>918</v>
      </c>
      <c r="AV14" s="47"/>
      <c r="AW14" s="47"/>
      <c r="AX14" s="96"/>
      <c r="AY14" s="96">
        <v>4666</v>
      </c>
      <c r="AZ14" s="34">
        <v>50</v>
      </c>
      <c r="BA14" s="34">
        <v>0</v>
      </c>
      <c r="BB14" s="47"/>
      <c r="BC14" s="47"/>
      <c r="BD14" s="47"/>
      <c r="BE14" s="47"/>
      <c r="BF14" s="96"/>
      <c r="BG14" s="96">
        <v>0</v>
      </c>
      <c r="BH14" s="47">
        <v>0</v>
      </c>
      <c r="BI14" s="47"/>
      <c r="BJ14" s="47"/>
      <c r="BK14" s="47"/>
      <c r="BL14" s="47"/>
      <c r="BM14" s="96"/>
      <c r="BN14" s="96">
        <v>0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>
        <v>1.8</v>
      </c>
      <c r="CH14" s="35">
        <v>0</v>
      </c>
      <c r="CI14" s="35"/>
      <c r="CJ14" s="35">
        <v>1</v>
      </c>
      <c r="CK14" s="35"/>
      <c r="CL14" s="35">
        <v>0</v>
      </c>
      <c r="CM14" s="51"/>
      <c r="CN14" s="51">
        <v>0.8</v>
      </c>
      <c r="CO14" s="51"/>
      <c r="CP14" s="51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53"/>
      <c r="EB14" s="53"/>
      <c r="EC14" s="53"/>
      <c r="ED14" s="53"/>
      <c r="EE14" s="53"/>
      <c r="EF14" s="53"/>
      <c r="EG14" s="53"/>
      <c r="EH14" s="53"/>
      <c r="EI14" s="53"/>
      <c r="EJ14" s="35">
        <v>3.8</v>
      </c>
      <c r="EK14" s="35">
        <v>0.6</v>
      </c>
      <c r="EL14" s="35">
        <v>0.3</v>
      </c>
      <c r="EM14" s="35"/>
      <c r="EN14" s="35"/>
      <c r="EO14" s="35"/>
      <c r="EP14" s="51">
        <v>2</v>
      </c>
      <c r="EQ14" s="51">
        <v>0.9</v>
      </c>
      <c r="ER14" s="51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57"/>
      <c r="IF14" s="50">
        <f t="shared" si="0"/>
        <v>1.8</v>
      </c>
      <c r="IG14" s="50">
        <f t="shared" si="1"/>
        <v>0</v>
      </c>
      <c r="IH14" s="50">
        <f t="shared" si="2"/>
        <v>0</v>
      </c>
      <c r="II14" s="50">
        <f t="shared" si="3"/>
        <v>1</v>
      </c>
      <c r="IJ14" s="50">
        <f t="shared" si="5"/>
        <v>0</v>
      </c>
      <c r="IK14" s="50">
        <f t="shared" si="6"/>
        <v>0</v>
      </c>
      <c r="IL14" s="50">
        <f t="shared" si="7"/>
        <v>0</v>
      </c>
      <c r="IM14" s="50">
        <f t="shared" si="8"/>
        <v>0.8</v>
      </c>
      <c r="IN14" s="47">
        <f t="shared" si="9"/>
        <v>3.8</v>
      </c>
      <c r="IO14" s="47">
        <f t="shared" si="10"/>
        <v>0.6</v>
      </c>
      <c r="IP14" s="47">
        <f t="shared" si="11"/>
        <v>0.3</v>
      </c>
      <c r="IQ14" s="47">
        <f t="shared" si="12"/>
        <v>0</v>
      </c>
      <c r="IR14" s="47">
        <f t="shared" si="13"/>
        <v>0</v>
      </c>
      <c r="IS14" s="47">
        <f t="shared" si="14"/>
        <v>0</v>
      </c>
      <c r="IT14" s="95">
        <f t="shared" si="15"/>
        <v>2</v>
      </c>
      <c r="IU14" s="95">
        <f t="shared" si="16"/>
        <v>0.9</v>
      </c>
      <c r="IV14" s="36">
        <v>5</v>
      </c>
      <c r="IW14" s="52">
        <v>1</v>
      </c>
      <c r="IX14" s="36"/>
      <c r="IY14" s="4"/>
      <c r="IZ14" s="4"/>
    </row>
    <row r="15" spans="1:260" s="5" customFormat="1" ht="15.95" customHeight="1">
      <c r="A15" s="12">
        <v>9</v>
      </c>
      <c r="B15" s="46" t="s">
        <v>77</v>
      </c>
      <c r="C15" s="46" t="s">
        <v>66</v>
      </c>
      <c r="D15" s="46" t="s">
        <v>75</v>
      </c>
      <c r="E15" s="36">
        <v>10.1</v>
      </c>
      <c r="F15" s="36">
        <v>25</v>
      </c>
      <c r="G15" s="34">
        <f>1500+300</f>
        <v>1800</v>
      </c>
      <c r="H15" s="59"/>
      <c r="I15" s="59">
        <v>1500</v>
      </c>
      <c r="J15" s="59"/>
      <c r="K15" s="59"/>
      <c r="L15" s="59"/>
      <c r="M15" s="59"/>
      <c r="N15" s="59"/>
      <c r="O15" s="36">
        <v>1500</v>
      </c>
      <c r="P15" s="36">
        <v>0</v>
      </c>
      <c r="Q15" s="36"/>
      <c r="R15" s="36"/>
      <c r="S15" s="36"/>
      <c r="T15" s="36"/>
      <c r="U15" s="36"/>
      <c r="V15" s="34">
        <v>703</v>
      </c>
      <c r="W15" s="34">
        <v>0</v>
      </c>
      <c r="X15" s="34">
        <v>703</v>
      </c>
      <c r="Y15" s="34"/>
      <c r="Z15" s="34"/>
      <c r="AA15" s="34"/>
      <c r="AB15" s="34"/>
      <c r="AC15" s="34"/>
      <c r="AD15" s="34">
        <v>0</v>
      </c>
      <c r="AE15" s="34"/>
      <c r="AF15" s="34">
        <v>703</v>
      </c>
      <c r="AG15" s="34"/>
      <c r="AH15" s="34"/>
      <c r="AI15" s="34"/>
      <c r="AJ15" s="34"/>
      <c r="AK15" s="34">
        <v>6838</v>
      </c>
      <c r="AL15" s="47">
        <v>5038</v>
      </c>
      <c r="AM15" s="47"/>
      <c r="AN15" s="93">
        <v>335</v>
      </c>
      <c r="AO15" s="47"/>
      <c r="AP15" s="47"/>
      <c r="AQ15" s="96">
        <v>1465</v>
      </c>
      <c r="AR15" s="96">
        <v>0</v>
      </c>
      <c r="AS15" s="47">
        <v>5038</v>
      </c>
      <c r="AT15" s="47"/>
      <c r="AU15" s="93"/>
      <c r="AV15" s="47"/>
      <c r="AW15" s="47"/>
      <c r="AX15" s="96"/>
      <c r="AY15" s="96">
        <v>1800</v>
      </c>
      <c r="AZ15" s="34">
        <v>175</v>
      </c>
      <c r="BA15" s="34">
        <v>0</v>
      </c>
      <c r="BB15" s="47"/>
      <c r="BC15" s="47"/>
      <c r="BD15" s="47"/>
      <c r="BE15" s="47"/>
      <c r="BF15" s="96">
        <v>120</v>
      </c>
      <c r="BG15" s="96">
        <v>0</v>
      </c>
      <c r="BH15" s="47">
        <v>0</v>
      </c>
      <c r="BI15" s="47"/>
      <c r="BJ15" s="47"/>
      <c r="BK15" s="47"/>
      <c r="BL15" s="47"/>
      <c r="BM15" s="96">
        <v>120</v>
      </c>
      <c r="BN15" s="96">
        <v>0</v>
      </c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>
        <v>2.5</v>
      </c>
      <c r="CH15" s="35"/>
      <c r="CI15" s="35"/>
      <c r="CJ15" s="35">
        <v>2.5</v>
      </c>
      <c r="CK15" s="35"/>
      <c r="CL15" s="35">
        <v>0</v>
      </c>
      <c r="CM15" s="51"/>
      <c r="CN15" s="51">
        <v>0</v>
      </c>
      <c r="CO15" s="51"/>
      <c r="CP15" s="51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53"/>
      <c r="EB15" s="53"/>
      <c r="EC15" s="53"/>
      <c r="ED15" s="53"/>
      <c r="EE15" s="53"/>
      <c r="EF15" s="53"/>
      <c r="EG15" s="53"/>
      <c r="EH15" s="53"/>
      <c r="EI15" s="53"/>
      <c r="EJ15" s="35">
        <v>3.3</v>
      </c>
      <c r="EK15" s="35">
        <v>0.6</v>
      </c>
      <c r="EL15" s="35">
        <v>0.4</v>
      </c>
      <c r="EM15" s="35"/>
      <c r="EN15" s="35"/>
      <c r="EO15" s="35"/>
      <c r="EP15" s="51">
        <v>1</v>
      </c>
      <c r="EQ15" s="51">
        <v>1.3</v>
      </c>
      <c r="ER15" s="51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>
        <v>1</v>
      </c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>
        <v>1</v>
      </c>
      <c r="HD15" s="36"/>
      <c r="HE15" s="36"/>
      <c r="HF15" s="36"/>
      <c r="HG15" s="36"/>
      <c r="HH15" s="36">
        <v>1</v>
      </c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57"/>
      <c r="IF15" s="50">
        <f t="shared" si="0"/>
        <v>2.5</v>
      </c>
      <c r="IG15" s="50">
        <f t="shared" si="1"/>
        <v>0</v>
      </c>
      <c r="IH15" s="50">
        <f t="shared" si="2"/>
        <v>0</v>
      </c>
      <c r="II15" s="50">
        <f t="shared" si="3"/>
        <v>2.5</v>
      </c>
      <c r="IJ15" s="50">
        <f t="shared" si="5"/>
        <v>0</v>
      </c>
      <c r="IK15" s="50">
        <f t="shared" si="6"/>
        <v>0</v>
      </c>
      <c r="IL15" s="50">
        <f t="shared" si="7"/>
        <v>0</v>
      </c>
      <c r="IM15" s="50">
        <f t="shared" si="8"/>
        <v>0</v>
      </c>
      <c r="IN15" s="47">
        <f t="shared" si="9"/>
        <v>3.3</v>
      </c>
      <c r="IO15" s="47">
        <f t="shared" si="10"/>
        <v>0.6</v>
      </c>
      <c r="IP15" s="47">
        <f t="shared" si="11"/>
        <v>0.4</v>
      </c>
      <c r="IQ15" s="47">
        <f t="shared" si="12"/>
        <v>0</v>
      </c>
      <c r="IR15" s="47">
        <f t="shared" si="13"/>
        <v>0</v>
      </c>
      <c r="IS15" s="47">
        <f t="shared" si="14"/>
        <v>0</v>
      </c>
      <c r="IT15" s="95">
        <f t="shared" si="15"/>
        <v>1</v>
      </c>
      <c r="IU15" s="95">
        <f t="shared" si="16"/>
        <v>1.3</v>
      </c>
      <c r="IV15" s="36">
        <v>0.8</v>
      </c>
      <c r="IW15" s="52">
        <v>1</v>
      </c>
      <c r="IX15" s="36"/>
      <c r="IY15" s="4"/>
      <c r="IZ15" s="4"/>
    </row>
    <row r="16" spans="1:260" s="5" customFormat="1" ht="15.95" customHeight="1">
      <c r="A16" s="6">
        <v>10</v>
      </c>
      <c r="B16" s="46" t="s">
        <v>78</v>
      </c>
      <c r="C16" s="46" t="s">
        <v>66</v>
      </c>
      <c r="D16" s="46" t="s">
        <v>75</v>
      </c>
      <c r="E16" s="36">
        <v>6.5</v>
      </c>
      <c r="F16" s="36">
        <v>12.5</v>
      </c>
      <c r="G16" s="34">
        <f>1500+300</f>
        <v>1800</v>
      </c>
      <c r="H16" s="59"/>
      <c r="I16" s="59">
        <v>1500</v>
      </c>
      <c r="J16" s="59"/>
      <c r="K16" s="59"/>
      <c r="L16" s="59"/>
      <c r="M16" s="59"/>
      <c r="N16" s="59"/>
      <c r="O16" s="36">
        <v>750</v>
      </c>
      <c r="P16" s="36">
        <v>750</v>
      </c>
      <c r="Q16" s="36"/>
      <c r="R16" s="36"/>
      <c r="S16" s="36"/>
      <c r="T16" s="36"/>
      <c r="U16" s="36"/>
      <c r="V16" s="34">
        <v>703</v>
      </c>
      <c r="W16" s="34">
        <v>0</v>
      </c>
      <c r="X16" s="34">
        <v>703</v>
      </c>
      <c r="Y16" s="34"/>
      <c r="Z16" s="34"/>
      <c r="AA16" s="34"/>
      <c r="AB16" s="34"/>
      <c r="AC16" s="34"/>
      <c r="AD16" s="34">
        <v>0</v>
      </c>
      <c r="AE16" s="34"/>
      <c r="AF16" s="34"/>
      <c r="AG16" s="34"/>
      <c r="AH16" s="34"/>
      <c r="AI16" s="34"/>
      <c r="AJ16" s="34">
        <v>703</v>
      </c>
      <c r="AK16" s="34">
        <v>3456</v>
      </c>
      <c r="AL16" s="47">
        <v>0</v>
      </c>
      <c r="AM16" s="47">
        <v>80</v>
      </c>
      <c r="AN16" s="93"/>
      <c r="AO16" s="47">
        <v>2606</v>
      </c>
      <c r="AP16" s="47"/>
      <c r="AQ16" s="96">
        <v>770</v>
      </c>
      <c r="AR16" s="96">
        <v>0</v>
      </c>
      <c r="AS16" s="47">
        <v>0</v>
      </c>
      <c r="AT16" s="47">
        <v>0</v>
      </c>
      <c r="AU16" s="93">
        <v>80</v>
      </c>
      <c r="AV16" s="47">
        <v>2606</v>
      </c>
      <c r="AW16" s="47"/>
      <c r="AX16" s="96"/>
      <c r="AY16" s="96">
        <v>770</v>
      </c>
      <c r="AZ16" s="34">
        <v>175</v>
      </c>
      <c r="BA16" s="34">
        <v>0</v>
      </c>
      <c r="BB16" s="47"/>
      <c r="BC16" s="47"/>
      <c r="BD16" s="47"/>
      <c r="BE16" s="47"/>
      <c r="BF16" s="96"/>
      <c r="BG16" s="96">
        <v>100</v>
      </c>
      <c r="BH16" s="47">
        <v>0</v>
      </c>
      <c r="BI16" s="47"/>
      <c r="BJ16" s="47"/>
      <c r="BK16" s="47"/>
      <c r="BL16" s="47"/>
      <c r="BM16" s="96"/>
      <c r="BN16" s="96">
        <v>100</v>
      </c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>
        <v>0.7</v>
      </c>
      <c r="CH16" s="35"/>
      <c r="CI16" s="35"/>
      <c r="CJ16" s="35">
        <v>0.7</v>
      </c>
      <c r="CK16" s="35"/>
      <c r="CL16" s="35">
        <v>0.4</v>
      </c>
      <c r="CM16" s="51"/>
      <c r="CN16" s="51">
        <v>0</v>
      </c>
      <c r="CO16" s="51"/>
      <c r="CP16" s="51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53"/>
      <c r="EB16" s="53"/>
      <c r="EC16" s="53"/>
      <c r="ED16" s="53"/>
      <c r="EE16" s="53"/>
      <c r="EF16" s="53"/>
      <c r="EG16" s="53"/>
      <c r="EH16" s="53"/>
      <c r="EI16" s="53"/>
      <c r="EJ16" s="35">
        <v>2.2999999999999998</v>
      </c>
      <c r="EK16" s="35">
        <v>0.3</v>
      </c>
      <c r="EL16" s="35">
        <v>0.5</v>
      </c>
      <c r="EM16" s="35"/>
      <c r="EN16" s="35"/>
      <c r="EO16" s="35"/>
      <c r="EP16" s="51"/>
      <c r="EQ16" s="51">
        <v>1.5</v>
      </c>
      <c r="ER16" s="51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57"/>
      <c r="IF16" s="50">
        <f t="shared" si="0"/>
        <v>0.7</v>
      </c>
      <c r="IG16" s="50">
        <f t="shared" si="1"/>
        <v>0</v>
      </c>
      <c r="IH16" s="50">
        <f t="shared" si="2"/>
        <v>0</v>
      </c>
      <c r="II16" s="50">
        <f t="shared" si="3"/>
        <v>0.7</v>
      </c>
      <c r="IJ16" s="50">
        <f t="shared" si="5"/>
        <v>0</v>
      </c>
      <c r="IK16" s="50">
        <f t="shared" si="6"/>
        <v>0.4</v>
      </c>
      <c r="IL16" s="50">
        <f t="shared" si="7"/>
        <v>0</v>
      </c>
      <c r="IM16" s="50">
        <f t="shared" si="8"/>
        <v>0</v>
      </c>
      <c r="IN16" s="47">
        <f t="shared" si="9"/>
        <v>2.2999999999999998</v>
      </c>
      <c r="IO16" s="47">
        <f t="shared" si="10"/>
        <v>0.3</v>
      </c>
      <c r="IP16" s="47">
        <f t="shared" si="11"/>
        <v>0.5</v>
      </c>
      <c r="IQ16" s="47">
        <f t="shared" si="12"/>
        <v>0</v>
      </c>
      <c r="IR16" s="47">
        <f t="shared" si="13"/>
        <v>0</v>
      </c>
      <c r="IS16" s="47">
        <f t="shared" si="14"/>
        <v>0</v>
      </c>
      <c r="IT16" s="95">
        <f t="shared" si="15"/>
        <v>0</v>
      </c>
      <c r="IU16" s="95">
        <f t="shared" si="16"/>
        <v>1.5</v>
      </c>
      <c r="IV16" s="36">
        <v>0</v>
      </c>
      <c r="IW16" s="52">
        <v>1</v>
      </c>
      <c r="IX16" s="36"/>
      <c r="IY16" s="4"/>
      <c r="IZ16" s="4"/>
    </row>
    <row r="17" spans="1:260" s="5" customFormat="1" ht="15.95" customHeight="1">
      <c r="A17" s="6">
        <v>11</v>
      </c>
      <c r="B17" s="46" t="s">
        <v>79</v>
      </c>
      <c r="C17" s="46" t="s">
        <v>66</v>
      </c>
      <c r="D17" s="46" t="s">
        <v>75</v>
      </c>
      <c r="E17" s="36">
        <v>6.5</v>
      </c>
      <c r="F17" s="36">
        <v>10.8</v>
      </c>
      <c r="G17" s="34">
        <f>1500+300</f>
        <v>1800</v>
      </c>
      <c r="H17" s="59"/>
      <c r="I17" s="59">
        <v>1500</v>
      </c>
      <c r="J17" s="59"/>
      <c r="K17" s="59"/>
      <c r="L17" s="59"/>
      <c r="M17" s="59"/>
      <c r="N17" s="59"/>
      <c r="O17" s="36">
        <v>0</v>
      </c>
      <c r="P17" s="36">
        <v>600</v>
      </c>
      <c r="Q17" s="36">
        <v>900</v>
      </c>
      <c r="R17" s="36"/>
      <c r="S17" s="36"/>
      <c r="T17" s="36"/>
      <c r="U17" s="36"/>
      <c r="V17" s="34">
        <v>0</v>
      </c>
      <c r="W17" s="34">
        <v>0</v>
      </c>
      <c r="X17" s="34"/>
      <c r="Y17" s="34"/>
      <c r="Z17" s="34"/>
      <c r="AA17" s="34"/>
      <c r="AB17" s="34"/>
      <c r="AC17" s="34"/>
      <c r="AD17" s="34">
        <v>0</v>
      </c>
      <c r="AE17" s="34"/>
      <c r="AF17" s="34"/>
      <c r="AG17" s="34"/>
      <c r="AH17" s="34"/>
      <c r="AI17" s="34"/>
      <c r="AJ17" s="34"/>
      <c r="AK17" s="34">
        <v>4358</v>
      </c>
      <c r="AL17" s="47">
        <v>2761</v>
      </c>
      <c r="AM17" s="47"/>
      <c r="AN17" s="93">
        <v>291</v>
      </c>
      <c r="AO17" s="47"/>
      <c r="AP17" s="47"/>
      <c r="AQ17" s="96">
        <v>597</v>
      </c>
      <c r="AR17" s="96">
        <v>709</v>
      </c>
      <c r="AS17" s="47">
        <v>2761</v>
      </c>
      <c r="AT17" s="47"/>
      <c r="AU17" s="93"/>
      <c r="AV17" s="47"/>
      <c r="AW17" s="47"/>
      <c r="AX17" s="96"/>
      <c r="AY17" s="96">
        <v>1597</v>
      </c>
      <c r="AZ17" s="34">
        <v>275</v>
      </c>
      <c r="BA17" s="34">
        <v>100</v>
      </c>
      <c r="BB17" s="47"/>
      <c r="BC17" s="47"/>
      <c r="BD17" s="47"/>
      <c r="BE17" s="47"/>
      <c r="BF17" s="96"/>
      <c r="BG17" s="96">
        <v>60</v>
      </c>
      <c r="BH17" s="47">
        <v>100</v>
      </c>
      <c r="BI17" s="47"/>
      <c r="BJ17" s="47"/>
      <c r="BK17" s="47"/>
      <c r="BL17" s="47"/>
      <c r="BM17" s="96"/>
      <c r="BN17" s="96">
        <v>60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>
        <v>0.3</v>
      </c>
      <c r="CH17" s="35">
        <v>1</v>
      </c>
      <c r="CI17" s="35"/>
      <c r="CJ17" s="35"/>
      <c r="CK17" s="35"/>
      <c r="CL17" s="35">
        <v>0</v>
      </c>
      <c r="CM17" s="51"/>
      <c r="CN17" s="51">
        <v>0</v>
      </c>
      <c r="CO17" s="51"/>
      <c r="CP17" s="51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53"/>
      <c r="EB17" s="53"/>
      <c r="EC17" s="53"/>
      <c r="ED17" s="53"/>
      <c r="EE17" s="53"/>
      <c r="EF17" s="53"/>
      <c r="EG17" s="53"/>
      <c r="EH17" s="53"/>
      <c r="EI17" s="53"/>
      <c r="EJ17" s="35">
        <v>2.4</v>
      </c>
      <c r="EK17" s="35">
        <v>0.3</v>
      </c>
      <c r="EL17" s="35">
        <v>0.7</v>
      </c>
      <c r="EM17" s="35">
        <v>0.5</v>
      </c>
      <c r="EN17" s="35"/>
      <c r="EO17" s="35">
        <v>0.9</v>
      </c>
      <c r="EP17" s="51"/>
      <c r="EQ17" s="51">
        <v>0</v>
      </c>
      <c r="ER17" s="51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>
        <v>1</v>
      </c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57"/>
      <c r="IF17" s="50">
        <f t="shared" si="0"/>
        <v>0.3</v>
      </c>
      <c r="IG17" s="50">
        <f t="shared" si="1"/>
        <v>1</v>
      </c>
      <c r="IH17" s="50">
        <f t="shared" si="2"/>
        <v>0</v>
      </c>
      <c r="II17" s="50">
        <f t="shared" si="3"/>
        <v>0</v>
      </c>
      <c r="IJ17" s="50">
        <f t="shared" si="5"/>
        <v>0</v>
      </c>
      <c r="IK17" s="50">
        <f t="shared" si="6"/>
        <v>0</v>
      </c>
      <c r="IL17" s="50">
        <f t="shared" si="7"/>
        <v>0</v>
      </c>
      <c r="IM17" s="50">
        <f t="shared" si="8"/>
        <v>0</v>
      </c>
      <c r="IN17" s="47">
        <f t="shared" si="9"/>
        <v>2.4</v>
      </c>
      <c r="IO17" s="47">
        <f t="shared" si="10"/>
        <v>0.3</v>
      </c>
      <c r="IP17" s="47">
        <f t="shared" si="11"/>
        <v>0.7</v>
      </c>
      <c r="IQ17" s="47">
        <f t="shared" si="12"/>
        <v>0.5</v>
      </c>
      <c r="IR17" s="47">
        <f t="shared" si="13"/>
        <v>0</v>
      </c>
      <c r="IS17" s="47">
        <f t="shared" si="14"/>
        <v>0.9</v>
      </c>
      <c r="IT17" s="95">
        <f t="shared" si="15"/>
        <v>0</v>
      </c>
      <c r="IU17" s="95">
        <f t="shared" si="16"/>
        <v>0</v>
      </c>
      <c r="IV17" s="36">
        <v>0</v>
      </c>
      <c r="IW17" s="52">
        <v>1</v>
      </c>
      <c r="IX17" s="36"/>
      <c r="IY17" s="4"/>
      <c r="IZ17" s="4"/>
    </row>
    <row r="18" spans="1:260" s="5" customFormat="1" ht="15.95" customHeight="1">
      <c r="A18" s="6">
        <v>12</v>
      </c>
      <c r="B18" s="46" t="s">
        <v>80</v>
      </c>
      <c r="C18" s="46" t="s">
        <v>66</v>
      </c>
      <c r="D18" s="46" t="s">
        <v>75</v>
      </c>
      <c r="E18" s="36">
        <v>8.4</v>
      </c>
      <c r="F18" s="36">
        <v>12.5</v>
      </c>
      <c r="G18" s="34">
        <f>750+300</f>
        <v>1050</v>
      </c>
      <c r="H18" s="59"/>
      <c r="I18" s="59">
        <v>750</v>
      </c>
      <c r="J18" s="59"/>
      <c r="K18" s="59"/>
      <c r="L18" s="59"/>
      <c r="M18" s="59"/>
      <c r="N18" s="59"/>
      <c r="O18" s="36">
        <v>750</v>
      </c>
      <c r="P18" s="36"/>
      <c r="Q18" s="36"/>
      <c r="R18" s="36"/>
      <c r="S18" s="36"/>
      <c r="T18" s="36"/>
      <c r="U18" s="36"/>
      <c r="V18" s="34">
        <v>0</v>
      </c>
      <c r="W18" s="34">
        <v>0</v>
      </c>
      <c r="X18" s="34"/>
      <c r="Y18" s="34"/>
      <c r="Z18" s="34"/>
      <c r="AA18" s="34"/>
      <c r="AB18" s="34"/>
      <c r="AC18" s="34"/>
      <c r="AD18" s="34">
        <v>0</v>
      </c>
      <c r="AE18" s="34"/>
      <c r="AF18" s="34"/>
      <c r="AG18" s="34"/>
      <c r="AH18" s="34"/>
      <c r="AI18" s="34"/>
      <c r="AJ18" s="34"/>
      <c r="AK18" s="34">
        <v>4663</v>
      </c>
      <c r="AL18" s="47">
        <v>2595</v>
      </c>
      <c r="AM18" s="47"/>
      <c r="AN18" s="93"/>
      <c r="AO18" s="47">
        <v>1181</v>
      </c>
      <c r="AP18" s="47"/>
      <c r="AQ18" s="96"/>
      <c r="AR18" s="96">
        <v>887</v>
      </c>
      <c r="AS18" s="47">
        <v>2595</v>
      </c>
      <c r="AT18" s="47"/>
      <c r="AU18" s="93"/>
      <c r="AV18" s="47">
        <v>1181</v>
      </c>
      <c r="AW18" s="47"/>
      <c r="AX18" s="96"/>
      <c r="AY18" s="96">
        <v>887</v>
      </c>
      <c r="AZ18" s="34">
        <v>150</v>
      </c>
      <c r="BA18" s="34">
        <v>150</v>
      </c>
      <c r="BB18" s="47"/>
      <c r="BC18" s="47"/>
      <c r="BD18" s="47"/>
      <c r="BE18" s="47"/>
      <c r="BF18" s="96"/>
      <c r="BG18" s="96">
        <v>0</v>
      </c>
      <c r="BH18" s="47">
        <v>0</v>
      </c>
      <c r="BI18" s="47">
        <v>50</v>
      </c>
      <c r="BJ18" s="47">
        <v>100</v>
      </c>
      <c r="BK18" s="47"/>
      <c r="BL18" s="47"/>
      <c r="BM18" s="96"/>
      <c r="BN18" s="96">
        <v>0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>
        <v>0.4</v>
      </c>
      <c r="CH18" s="35"/>
      <c r="CI18" s="35"/>
      <c r="CJ18" s="35">
        <v>0.4</v>
      </c>
      <c r="CK18" s="35"/>
      <c r="CL18" s="35">
        <v>0</v>
      </c>
      <c r="CM18" s="51"/>
      <c r="CN18" s="51">
        <v>0</v>
      </c>
      <c r="CO18" s="51"/>
      <c r="CP18" s="51"/>
      <c r="CQ18" s="35">
        <v>1.8</v>
      </c>
      <c r="CR18" s="35"/>
      <c r="CS18" s="35"/>
      <c r="CT18" s="35"/>
      <c r="CU18" s="35"/>
      <c r="CV18" s="35">
        <v>1.8</v>
      </c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53"/>
      <c r="EB18" s="53"/>
      <c r="EC18" s="53"/>
      <c r="ED18" s="53"/>
      <c r="EE18" s="53"/>
      <c r="EF18" s="53"/>
      <c r="EG18" s="53"/>
      <c r="EH18" s="53"/>
      <c r="EI18" s="53"/>
      <c r="EJ18" s="35">
        <v>1</v>
      </c>
      <c r="EK18" s="35">
        <v>0.3</v>
      </c>
      <c r="EL18" s="35">
        <v>0.7</v>
      </c>
      <c r="EM18" s="35"/>
      <c r="EN18" s="35"/>
      <c r="EO18" s="35"/>
      <c r="EP18" s="51"/>
      <c r="EQ18" s="51">
        <v>0</v>
      </c>
      <c r="ER18" s="51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57"/>
      <c r="IF18" s="50">
        <f t="shared" si="0"/>
        <v>0.4</v>
      </c>
      <c r="IG18" s="50">
        <f t="shared" si="1"/>
        <v>0</v>
      </c>
      <c r="IH18" s="50">
        <f t="shared" si="2"/>
        <v>0</v>
      </c>
      <c r="II18" s="50">
        <f t="shared" si="3"/>
        <v>0.4</v>
      </c>
      <c r="IJ18" s="50">
        <f t="shared" si="5"/>
        <v>0</v>
      </c>
      <c r="IK18" s="50">
        <f t="shared" si="6"/>
        <v>0</v>
      </c>
      <c r="IL18" s="50">
        <f t="shared" si="7"/>
        <v>0</v>
      </c>
      <c r="IM18" s="50">
        <f t="shared" si="8"/>
        <v>0</v>
      </c>
      <c r="IN18" s="47">
        <f t="shared" si="9"/>
        <v>2.8</v>
      </c>
      <c r="IO18" s="47">
        <f t="shared" si="10"/>
        <v>0.3</v>
      </c>
      <c r="IP18" s="47">
        <f t="shared" si="11"/>
        <v>0.7</v>
      </c>
      <c r="IQ18" s="47">
        <f t="shared" si="12"/>
        <v>0</v>
      </c>
      <c r="IR18" s="47">
        <f t="shared" si="13"/>
        <v>0</v>
      </c>
      <c r="IS18" s="47">
        <f t="shared" si="14"/>
        <v>1.8</v>
      </c>
      <c r="IT18" s="95">
        <f t="shared" si="15"/>
        <v>0</v>
      </c>
      <c r="IU18" s="95">
        <f t="shared" si="16"/>
        <v>0</v>
      </c>
      <c r="IV18" s="36">
        <v>0</v>
      </c>
      <c r="IW18" s="52">
        <v>1</v>
      </c>
      <c r="IX18" s="36"/>
      <c r="IY18" s="4"/>
      <c r="IZ18" s="4"/>
    </row>
    <row r="19" spans="1:260" s="5" customFormat="1" ht="15.95" customHeight="1">
      <c r="A19" s="12">
        <v>13</v>
      </c>
      <c r="B19" s="46" t="s">
        <v>81</v>
      </c>
      <c r="C19" s="46" t="s">
        <v>66</v>
      </c>
      <c r="D19" s="46" t="s">
        <v>75</v>
      </c>
      <c r="E19" s="36">
        <v>6.8</v>
      </c>
      <c r="F19" s="36">
        <v>12.5</v>
      </c>
      <c r="G19" s="34">
        <v>750</v>
      </c>
      <c r="H19" s="59"/>
      <c r="I19" s="59">
        <v>750</v>
      </c>
      <c r="J19" s="59"/>
      <c r="K19" s="59"/>
      <c r="L19" s="59"/>
      <c r="M19" s="59"/>
      <c r="N19" s="59"/>
      <c r="O19" s="36">
        <v>750</v>
      </c>
      <c r="P19" s="36"/>
      <c r="Q19" s="36"/>
      <c r="R19" s="36"/>
      <c r="S19" s="36"/>
      <c r="T19" s="36"/>
      <c r="U19" s="36"/>
      <c r="V19" s="34">
        <v>0</v>
      </c>
      <c r="W19" s="34">
        <v>0</v>
      </c>
      <c r="X19" s="34"/>
      <c r="Y19" s="34"/>
      <c r="Z19" s="34"/>
      <c r="AA19" s="34"/>
      <c r="AB19" s="34"/>
      <c r="AC19" s="34"/>
      <c r="AD19" s="34">
        <v>0</v>
      </c>
      <c r="AE19" s="34"/>
      <c r="AF19" s="34"/>
      <c r="AG19" s="34"/>
      <c r="AH19" s="34"/>
      <c r="AI19" s="34"/>
      <c r="AJ19" s="34"/>
      <c r="AK19" s="34">
        <v>2830</v>
      </c>
      <c r="AL19" s="47">
        <v>1530</v>
      </c>
      <c r="AM19" s="47"/>
      <c r="AN19" s="93"/>
      <c r="AO19" s="47"/>
      <c r="AP19" s="47"/>
      <c r="AQ19" s="96">
        <v>1300</v>
      </c>
      <c r="AR19" s="96">
        <v>0</v>
      </c>
      <c r="AS19" s="47">
        <v>1000</v>
      </c>
      <c r="AT19" s="47"/>
      <c r="AU19" s="93">
        <v>530</v>
      </c>
      <c r="AV19" s="47"/>
      <c r="AW19" s="47"/>
      <c r="AX19" s="96"/>
      <c r="AY19" s="96">
        <v>1300</v>
      </c>
      <c r="AZ19" s="34">
        <v>175</v>
      </c>
      <c r="BA19" s="34">
        <v>100</v>
      </c>
      <c r="BB19" s="47"/>
      <c r="BC19" s="47"/>
      <c r="BD19" s="47"/>
      <c r="BE19" s="47"/>
      <c r="BF19" s="96"/>
      <c r="BG19" s="96">
        <v>20</v>
      </c>
      <c r="BH19" s="47">
        <v>100</v>
      </c>
      <c r="BI19" s="47"/>
      <c r="BJ19" s="47"/>
      <c r="BK19" s="47"/>
      <c r="BL19" s="47"/>
      <c r="BM19" s="96"/>
      <c r="BN19" s="96">
        <v>20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>
        <v>0.6</v>
      </c>
      <c r="CH19" s="35"/>
      <c r="CI19" s="35"/>
      <c r="CJ19" s="35">
        <v>0.6</v>
      </c>
      <c r="CK19" s="35"/>
      <c r="CL19" s="35">
        <v>0</v>
      </c>
      <c r="CM19" s="51"/>
      <c r="CN19" s="51">
        <v>0</v>
      </c>
      <c r="CO19" s="51"/>
      <c r="CP19" s="51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53"/>
      <c r="EB19" s="53"/>
      <c r="EC19" s="53"/>
      <c r="ED19" s="53"/>
      <c r="EE19" s="53"/>
      <c r="EF19" s="53"/>
      <c r="EG19" s="53"/>
      <c r="EH19" s="53"/>
      <c r="EI19" s="53"/>
      <c r="EJ19" s="35">
        <v>1.1000000000000001</v>
      </c>
      <c r="EK19" s="35">
        <v>0.3</v>
      </c>
      <c r="EL19" s="35">
        <v>0.8</v>
      </c>
      <c r="EM19" s="35"/>
      <c r="EN19" s="35"/>
      <c r="EO19" s="35"/>
      <c r="EP19" s="51"/>
      <c r="EQ19" s="51">
        <v>0</v>
      </c>
      <c r="ER19" s="51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57"/>
      <c r="IF19" s="50">
        <f t="shared" si="0"/>
        <v>0.6</v>
      </c>
      <c r="IG19" s="50">
        <f t="shared" si="1"/>
        <v>0</v>
      </c>
      <c r="IH19" s="50">
        <f t="shared" si="2"/>
        <v>0</v>
      </c>
      <c r="II19" s="50">
        <f t="shared" si="3"/>
        <v>0.6</v>
      </c>
      <c r="IJ19" s="50">
        <f t="shared" si="5"/>
        <v>0</v>
      </c>
      <c r="IK19" s="50">
        <f t="shared" si="6"/>
        <v>0</v>
      </c>
      <c r="IL19" s="50">
        <f t="shared" si="7"/>
        <v>0</v>
      </c>
      <c r="IM19" s="50">
        <f t="shared" si="8"/>
        <v>0</v>
      </c>
      <c r="IN19" s="47">
        <f t="shared" si="9"/>
        <v>1.1000000000000001</v>
      </c>
      <c r="IO19" s="47">
        <f t="shared" si="10"/>
        <v>0.3</v>
      </c>
      <c r="IP19" s="47">
        <f t="shared" si="11"/>
        <v>0.8</v>
      </c>
      <c r="IQ19" s="47">
        <f t="shared" si="12"/>
        <v>0</v>
      </c>
      <c r="IR19" s="47">
        <f t="shared" si="13"/>
        <v>0</v>
      </c>
      <c r="IS19" s="47">
        <f t="shared" si="14"/>
        <v>0</v>
      </c>
      <c r="IT19" s="95">
        <f t="shared" si="15"/>
        <v>0</v>
      </c>
      <c r="IU19" s="95">
        <f t="shared" si="16"/>
        <v>0</v>
      </c>
      <c r="IV19" s="36">
        <v>0.8</v>
      </c>
      <c r="IW19" s="52">
        <v>1</v>
      </c>
      <c r="IX19" s="36"/>
      <c r="IY19" s="4"/>
      <c r="IZ19" s="4"/>
    </row>
    <row r="20" spans="1:260" s="5" customFormat="1" ht="15.95" customHeight="1">
      <c r="A20" s="6">
        <v>14</v>
      </c>
      <c r="B20" s="46" t="s">
        <v>82</v>
      </c>
      <c r="C20" s="46" t="s">
        <v>66</v>
      </c>
      <c r="D20" s="46" t="s">
        <v>75</v>
      </c>
      <c r="E20" s="36">
        <v>15.8</v>
      </c>
      <c r="F20" s="36">
        <v>26.3</v>
      </c>
      <c r="G20" s="34">
        <v>1125</v>
      </c>
      <c r="H20" s="59"/>
      <c r="I20" s="59">
        <v>1125</v>
      </c>
      <c r="J20" s="59"/>
      <c r="K20" s="59"/>
      <c r="L20" s="59"/>
      <c r="M20" s="59"/>
      <c r="N20" s="59"/>
      <c r="O20" s="36">
        <v>0</v>
      </c>
      <c r="P20" s="36">
        <v>0</v>
      </c>
      <c r="Q20" s="36">
        <v>1125</v>
      </c>
      <c r="R20" s="36"/>
      <c r="S20" s="36"/>
      <c r="T20" s="36"/>
      <c r="U20" s="36"/>
      <c r="V20" s="34">
        <v>0</v>
      </c>
      <c r="W20" s="34">
        <v>0</v>
      </c>
      <c r="X20" s="34"/>
      <c r="Y20" s="34"/>
      <c r="Z20" s="34"/>
      <c r="AA20" s="34"/>
      <c r="AB20" s="34"/>
      <c r="AC20" s="34"/>
      <c r="AD20" s="34">
        <v>0</v>
      </c>
      <c r="AE20" s="34"/>
      <c r="AF20" s="34"/>
      <c r="AG20" s="34"/>
      <c r="AH20" s="34"/>
      <c r="AI20" s="34"/>
      <c r="AJ20" s="34"/>
      <c r="AK20" s="34">
        <v>3009</v>
      </c>
      <c r="AL20" s="47">
        <v>0</v>
      </c>
      <c r="AM20" s="47"/>
      <c r="AN20" s="93">
        <v>100</v>
      </c>
      <c r="AO20" s="47">
        <v>2909</v>
      </c>
      <c r="AP20" s="47"/>
      <c r="AQ20" s="96">
        <v>0</v>
      </c>
      <c r="AR20" s="96">
        <v>0</v>
      </c>
      <c r="AS20" s="47">
        <v>0</v>
      </c>
      <c r="AT20" s="47"/>
      <c r="AU20" s="93">
        <v>100</v>
      </c>
      <c r="AV20" s="47"/>
      <c r="AW20" s="47">
        <v>2909</v>
      </c>
      <c r="AX20" s="96"/>
      <c r="AY20" s="96">
        <v>0</v>
      </c>
      <c r="AZ20" s="34">
        <v>351</v>
      </c>
      <c r="BA20" s="34">
        <v>117</v>
      </c>
      <c r="BB20" s="47"/>
      <c r="BC20" s="47"/>
      <c r="BD20" s="47"/>
      <c r="BE20" s="47"/>
      <c r="BF20" s="96">
        <v>100</v>
      </c>
      <c r="BG20" s="96">
        <v>0</v>
      </c>
      <c r="BH20" s="47">
        <v>0</v>
      </c>
      <c r="BI20" s="47">
        <v>0</v>
      </c>
      <c r="BJ20" s="47">
        <v>0</v>
      </c>
      <c r="BK20" s="47"/>
      <c r="BL20" s="47"/>
      <c r="BM20" s="96">
        <v>117</v>
      </c>
      <c r="BN20" s="96">
        <v>100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>
        <v>0.6</v>
      </c>
      <c r="CH20" s="35"/>
      <c r="CI20" s="35"/>
      <c r="CJ20" s="35">
        <v>0.6</v>
      </c>
      <c r="CK20" s="35"/>
      <c r="CL20" s="35">
        <v>0</v>
      </c>
      <c r="CM20" s="51"/>
      <c r="CN20" s="51">
        <v>0</v>
      </c>
      <c r="CO20" s="51"/>
      <c r="CP20" s="51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53"/>
      <c r="EB20" s="53"/>
      <c r="EC20" s="53"/>
      <c r="ED20" s="53"/>
      <c r="EE20" s="53"/>
      <c r="EF20" s="53"/>
      <c r="EG20" s="53"/>
      <c r="EH20" s="53"/>
      <c r="EI20" s="53"/>
      <c r="EJ20" s="35">
        <v>1.4</v>
      </c>
      <c r="EK20" s="35">
        <v>0</v>
      </c>
      <c r="EL20" s="35">
        <v>0.4</v>
      </c>
      <c r="EM20" s="35"/>
      <c r="EN20" s="35"/>
      <c r="EO20" s="35"/>
      <c r="EP20" s="51">
        <v>1</v>
      </c>
      <c r="EQ20" s="51">
        <v>0</v>
      </c>
      <c r="ER20" s="51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57"/>
      <c r="IF20" s="50">
        <f t="shared" si="0"/>
        <v>0.6</v>
      </c>
      <c r="IG20" s="50">
        <f t="shared" si="1"/>
        <v>0</v>
      </c>
      <c r="IH20" s="50">
        <f t="shared" si="2"/>
        <v>0</v>
      </c>
      <c r="II20" s="50">
        <f t="shared" si="3"/>
        <v>0.6</v>
      </c>
      <c r="IJ20" s="50">
        <f t="shared" si="5"/>
        <v>0</v>
      </c>
      <c r="IK20" s="50">
        <f t="shared" si="6"/>
        <v>0</v>
      </c>
      <c r="IL20" s="50">
        <f t="shared" si="7"/>
        <v>0</v>
      </c>
      <c r="IM20" s="50">
        <f t="shared" si="8"/>
        <v>0</v>
      </c>
      <c r="IN20" s="47">
        <f t="shared" si="9"/>
        <v>1.4</v>
      </c>
      <c r="IO20" s="47">
        <f t="shared" si="10"/>
        <v>0</v>
      </c>
      <c r="IP20" s="47">
        <f t="shared" si="11"/>
        <v>0.4</v>
      </c>
      <c r="IQ20" s="47">
        <f t="shared" si="12"/>
        <v>0</v>
      </c>
      <c r="IR20" s="47">
        <f t="shared" si="13"/>
        <v>0</v>
      </c>
      <c r="IS20" s="47">
        <f t="shared" si="14"/>
        <v>0</v>
      </c>
      <c r="IT20" s="95">
        <f t="shared" si="15"/>
        <v>1</v>
      </c>
      <c r="IU20" s="95">
        <f t="shared" si="16"/>
        <v>0</v>
      </c>
      <c r="IV20" s="36">
        <v>1.6</v>
      </c>
      <c r="IW20" s="52">
        <v>1</v>
      </c>
      <c r="IX20" s="36"/>
      <c r="IY20" s="4"/>
      <c r="IZ20" s="4"/>
    </row>
    <row r="21" spans="1:260" s="5" customFormat="1" ht="15.95" customHeight="1">
      <c r="A21" s="6">
        <v>15</v>
      </c>
      <c r="B21" s="46" t="s">
        <v>83</v>
      </c>
      <c r="C21" s="46" t="s">
        <v>66</v>
      </c>
      <c r="D21" s="46" t="s">
        <v>75</v>
      </c>
      <c r="E21" s="36">
        <v>16.2</v>
      </c>
      <c r="F21" s="36">
        <v>27</v>
      </c>
      <c r="G21" s="34">
        <v>750</v>
      </c>
      <c r="H21" s="63"/>
      <c r="I21" s="59">
        <v>0</v>
      </c>
      <c r="J21" s="59">
        <v>750</v>
      </c>
      <c r="K21" s="63"/>
      <c r="L21" s="63"/>
      <c r="M21" s="63"/>
      <c r="N21" s="63"/>
      <c r="O21" s="36">
        <v>0</v>
      </c>
      <c r="P21" s="36"/>
      <c r="Q21" s="36">
        <v>750</v>
      </c>
      <c r="R21" s="36"/>
      <c r="S21" s="36"/>
      <c r="T21" s="36"/>
      <c r="U21" s="36"/>
      <c r="V21" s="34">
        <v>0</v>
      </c>
      <c r="W21" s="34">
        <v>0</v>
      </c>
      <c r="X21" s="34"/>
      <c r="Y21" s="34"/>
      <c r="Z21" s="34"/>
      <c r="AA21" s="34"/>
      <c r="AB21" s="34"/>
      <c r="AC21" s="34"/>
      <c r="AD21" s="34">
        <v>0</v>
      </c>
      <c r="AE21" s="34"/>
      <c r="AF21" s="34"/>
      <c r="AG21" s="34"/>
      <c r="AH21" s="34"/>
      <c r="AI21" s="34"/>
      <c r="AJ21" s="34"/>
      <c r="AK21" s="34">
        <v>2514</v>
      </c>
      <c r="AL21" s="47">
        <v>0</v>
      </c>
      <c r="AM21" s="47"/>
      <c r="AN21" s="93">
        <v>50</v>
      </c>
      <c r="AO21" s="47"/>
      <c r="AP21" s="47">
        <v>1000</v>
      </c>
      <c r="AQ21" s="96"/>
      <c r="AR21" s="96">
        <v>0</v>
      </c>
      <c r="AS21" s="47">
        <v>0</v>
      </c>
      <c r="AT21" s="47"/>
      <c r="AU21" s="93"/>
      <c r="AV21" s="47"/>
      <c r="AW21" s="47">
        <v>1050</v>
      </c>
      <c r="AX21" s="96"/>
      <c r="AY21" s="96">
        <v>0</v>
      </c>
      <c r="AZ21" s="34">
        <v>175</v>
      </c>
      <c r="BA21" s="34">
        <v>100</v>
      </c>
      <c r="BB21" s="47"/>
      <c r="BC21" s="47"/>
      <c r="BD21" s="47"/>
      <c r="BE21" s="47"/>
      <c r="BF21" s="96"/>
      <c r="BG21" s="96">
        <v>0</v>
      </c>
      <c r="BH21" s="47">
        <v>100</v>
      </c>
      <c r="BI21" s="47"/>
      <c r="BJ21" s="47">
        <v>0</v>
      </c>
      <c r="BK21" s="47"/>
      <c r="BL21" s="47"/>
      <c r="BM21" s="96"/>
      <c r="BN21" s="96">
        <v>0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>
        <v>0.5</v>
      </c>
      <c r="CH21" s="35"/>
      <c r="CI21" s="35"/>
      <c r="CJ21" s="35"/>
      <c r="CK21" s="35"/>
      <c r="CL21" s="35">
        <v>0.5</v>
      </c>
      <c r="CM21" s="51"/>
      <c r="CN21" s="51">
        <v>0</v>
      </c>
      <c r="CO21" s="51"/>
      <c r="CP21" s="51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53"/>
      <c r="EB21" s="53"/>
      <c r="EC21" s="53"/>
      <c r="ED21" s="53"/>
      <c r="EE21" s="53"/>
      <c r="EF21" s="53"/>
      <c r="EG21" s="53"/>
      <c r="EH21" s="53"/>
      <c r="EI21" s="53"/>
      <c r="EJ21" s="35">
        <v>3</v>
      </c>
      <c r="EK21" s="35">
        <v>0</v>
      </c>
      <c r="EL21" s="35">
        <v>0.1</v>
      </c>
      <c r="EM21" s="35"/>
      <c r="EN21" s="35"/>
      <c r="EO21" s="35"/>
      <c r="EP21" s="51">
        <v>2</v>
      </c>
      <c r="EQ21" s="51">
        <v>0.9</v>
      </c>
      <c r="ER21" s="51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57"/>
      <c r="IF21" s="50">
        <f t="shared" si="0"/>
        <v>0.5</v>
      </c>
      <c r="IG21" s="50">
        <f t="shared" si="1"/>
        <v>0</v>
      </c>
      <c r="IH21" s="50">
        <f t="shared" si="2"/>
        <v>0</v>
      </c>
      <c r="II21" s="50">
        <f t="shared" si="3"/>
        <v>0</v>
      </c>
      <c r="IJ21" s="50">
        <f t="shared" si="5"/>
        <v>0</v>
      </c>
      <c r="IK21" s="50">
        <f t="shared" si="6"/>
        <v>0.5</v>
      </c>
      <c r="IL21" s="50">
        <f t="shared" si="7"/>
        <v>0</v>
      </c>
      <c r="IM21" s="50">
        <f t="shared" si="8"/>
        <v>0</v>
      </c>
      <c r="IN21" s="47">
        <f t="shared" si="9"/>
        <v>3</v>
      </c>
      <c r="IO21" s="47">
        <f t="shared" si="10"/>
        <v>0</v>
      </c>
      <c r="IP21" s="47">
        <f t="shared" si="11"/>
        <v>0.1</v>
      </c>
      <c r="IQ21" s="47">
        <f t="shared" si="12"/>
        <v>0</v>
      </c>
      <c r="IR21" s="47">
        <f t="shared" si="13"/>
        <v>0</v>
      </c>
      <c r="IS21" s="47">
        <f t="shared" si="14"/>
        <v>0</v>
      </c>
      <c r="IT21" s="95">
        <f t="shared" si="15"/>
        <v>2</v>
      </c>
      <c r="IU21" s="95">
        <f t="shared" si="16"/>
        <v>0.9</v>
      </c>
      <c r="IV21" s="36">
        <v>0</v>
      </c>
      <c r="IW21" s="52">
        <v>1</v>
      </c>
      <c r="IX21" s="36"/>
      <c r="IY21" s="4"/>
      <c r="IZ21" s="4"/>
    </row>
    <row r="22" spans="1:260" s="5" customFormat="1" ht="15.95" customHeight="1">
      <c r="A22" s="6">
        <v>16</v>
      </c>
      <c r="B22" s="46" t="s">
        <v>84</v>
      </c>
      <c r="C22" s="46" t="s">
        <v>66</v>
      </c>
      <c r="D22" s="46" t="s">
        <v>75</v>
      </c>
      <c r="E22" s="36">
        <v>9.1</v>
      </c>
      <c r="F22" s="36">
        <v>15.2</v>
      </c>
      <c r="G22" s="34">
        <f>1250+450</f>
        <v>1700</v>
      </c>
      <c r="H22" s="59"/>
      <c r="I22" s="59">
        <v>1250</v>
      </c>
      <c r="J22" s="59">
        <v>0</v>
      </c>
      <c r="K22" s="59"/>
      <c r="L22" s="59"/>
      <c r="M22" s="59"/>
      <c r="N22" s="59"/>
      <c r="O22" s="36">
        <v>0</v>
      </c>
      <c r="P22" s="36">
        <v>500</v>
      </c>
      <c r="Q22" s="36">
        <v>750</v>
      </c>
      <c r="R22" s="36"/>
      <c r="S22" s="36"/>
      <c r="T22" s="36"/>
      <c r="U22" s="36"/>
      <c r="V22" s="34">
        <v>703</v>
      </c>
      <c r="W22" s="34">
        <v>0</v>
      </c>
      <c r="X22" s="34"/>
      <c r="Y22" s="34">
        <v>733</v>
      </c>
      <c r="Z22" s="34"/>
      <c r="AA22" s="34"/>
      <c r="AB22" s="34"/>
      <c r="AC22" s="34"/>
      <c r="AD22" s="34">
        <v>0</v>
      </c>
      <c r="AE22" s="34"/>
      <c r="AF22" s="34"/>
      <c r="AG22" s="34"/>
      <c r="AH22" s="34"/>
      <c r="AI22" s="34"/>
      <c r="AJ22" s="34">
        <v>733</v>
      </c>
      <c r="AK22" s="34">
        <v>2250</v>
      </c>
      <c r="AL22" s="47">
        <v>1146</v>
      </c>
      <c r="AM22" s="47"/>
      <c r="AN22" s="93"/>
      <c r="AO22" s="47"/>
      <c r="AP22" s="47"/>
      <c r="AQ22" s="96">
        <v>450</v>
      </c>
      <c r="AR22" s="96">
        <v>654</v>
      </c>
      <c r="AS22" s="47">
        <v>1146</v>
      </c>
      <c r="AT22" s="47"/>
      <c r="AU22" s="93"/>
      <c r="AV22" s="47"/>
      <c r="AW22" s="47"/>
      <c r="AX22" s="96"/>
      <c r="AY22" s="96">
        <v>1104</v>
      </c>
      <c r="AZ22" s="34">
        <v>120</v>
      </c>
      <c r="BA22" s="34">
        <v>0</v>
      </c>
      <c r="BB22" s="47"/>
      <c r="BC22" s="47"/>
      <c r="BD22" s="47"/>
      <c r="BE22" s="47"/>
      <c r="BF22" s="96"/>
      <c r="BG22" s="96">
        <v>60</v>
      </c>
      <c r="BH22" s="47">
        <v>0</v>
      </c>
      <c r="BI22" s="47"/>
      <c r="BJ22" s="47"/>
      <c r="BK22" s="47"/>
      <c r="BL22" s="47"/>
      <c r="BM22" s="96"/>
      <c r="BN22" s="96">
        <v>60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>
        <v>0.2</v>
      </c>
      <c r="CH22" s="35"/>
      <c r="CI22" s="35"/>
      <c r="CJ22" s="35">
        <v>0.2</v>
      </c>
      <c r="CK22" s="35"/>
      <c r="CL22" s="35">
        <v>0</v>
      </c>
      <c r="CM22" s="51"/>
      <c r="CN22" s="51">
        <v>0</v>
      </c>
      <c r="CO22" s="51"/>
      <c r="CP22" s="51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53"/>
      <c r="EB22" s="53"/>
      <c r="EC22" s="53"/>
      <c r="ED22" s="53"/>
      <c r="EE22" s="53"/>
      <c r="EF22" s="53"/>
      <c r="EG22" s="53"/>
      <c r="EH22" s="53"/>
      <c r="EI22" s="53"/>
      <c r="EJ22" s="35">
        <v>2.1</v>
      </c>
      <c r="EK22" s="35">
        <v>0</v>
      </c>
      <c r="EL22" s="35">
        <v>0</v>
      </c>
      <c r="EM22" s="35"/>
      <c r="EN22" s="35"/>
      <c r="EO22" s="35"/>
      <c r="EP22" s="51"/>
      <c r="EQ22" s="51">
        <v>2.1</v>
      </c>
      <c r="ER22" s="51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57"/>
      <c r="IF22" s="50">
        <f t="shared" si="0"/>
        <v>0.2</v>
      </c>
      <c r="IG22" s="50">
        <f t="shared" si="1"/>
        <v>0</v>
      </c>
      <c r="IH22" s="50">
        <f t="shared" si="2"/>
        <v>0</v>
      </c>
      <c r="II22" s="50">
        <f t="shared" si="3"/>
        <v>0.2</v>
      </c>
      <c r="IJ22" s="50">
        <f t="shared" si="5"/>
        <v>0</v>
      </c>
      <c r="IK22" s="50">
        <f t="shared" si="6"/>
        <v>0</v>
      </c>
      <c r="IL22" s="50">
        <f t="shared" si="7"/>
        <v>0</v>
      </c>
      <c r="IM22" s="50">
        <f t="shared" si="8"/>
        <v>0</v>
      </c>
      <c r="IN22" s="47">
        <f t="shared" si="9"/>
        <v>2.1</v>
      </c>
      <c r="IO22" s="47">
        <f t="shared" si="10"/>
        <v>0</v>
      </c>
      <c r="IP22" s="47">
        <f t="shared" si="11"/>
        <v>0</v>
      </c>
      <c r="IQ22" s="47">
        <f t="shared" si="12"/>
        <v>0</v>
      </c>
      <c r="IR22" s="47">
        <f t="shared" si="13"/>
        <v>0</v>
      </c>
      <c r="IS22" s="47">
        <f t="shared" si="14"/>
        <v>0</v>
      </c>
      <c r="IT22" s="95">
        <f t="shared" si="15"/>
        <v>0</v>
      </c>
      <c r="IU22" s="95">
        <f t="shared" si="16"/>
        <v>2.1</v>
      </c>
      <c r="IV22" s="36">
        <v>1.6</v>
      </c>
      <c r="IW22" s="52">
        <v>1</v>
      </c>
      <c r="IX22" s="36"/>
      <c r="IY22" s="4"/>
      <c r="IZ22" s="4"/>
    </row>
    <row r="23" spans="1:260" s="5" customFormat="1" ht="15.95" customHeight="1">
      <c r="A23" s="12">
        <v>17</v>
      </c>
      <c r="B23" s="46" t="s">
        <v>85</v>
      </c>
      <c r="C23" s="46" t="s">
        <v>66</v>
      </c>
      <c r="D23" s="46" t="s">
        <v>75</v>
      </c>
      <c r="E23" s="36">
        <v>12</v>
      </c>
      <c r="F23" s="36">
        <v>20</v>
      </c>
      <c r="G23" s="34">
        <f>750+800</f>
        <v>1550</v>
      </c>
      <c r="H23" s="59"/>
      <c r="I23" s="59">
        <v>750</v>
      </c>
      <c r="J23" s="59"/>
      <c r="K23" s="59"/>
      <c r="L23" s="59"/>
      <c r="M23" s="59"/>
      <c r="N23" s="59"/>
      <c r="O23" s="36">
        <v>0</v>
      </c>
      <c r="P23" s="36">
        <v>0</v>
      </c>
      <c r="Q23" s="36">
        <v>750</v>
      </c>
      <c r="R23" s="36"/>
      <c r="S23" s="36"/>
      <c r="T23" s="36"/>
      <c r="U23" s="36"/>
      <c r="V23" s="34">
        <v>0</v>
      </c>
      <c r="W23" s="34">
        <v>0</v>
      </c>
      <c r="X23" s="34"/>
      <c r="Y23" s="34"/>
      <c r="Z23" s="34"/>
      <c r="AA23" s="34"/>
      <c r="AB23" s="34"/>
      <c r="AC23" s="34"/>
      <c r="AD23" s="34">
        <v>0</v>
      </c>
      <c r="AE23" s="34"/>
      <c r="AF23" s="34"/>
      <c r="AG23" s="34"/>
      <c r="AH23" s="34"/>
      <c r="AI23" s="34"/>
      <c r="AJ23" s="34"/>
      <c r="AK23" s="34">
        <v>2805</v>
      </c>
      <c r="AL23" s="47">
        <v>0</v>
      </c>
      <c r="AM23" s="47"/>
      <c r="AN23" s="93">
        <v>170</v>
      </c>
      <c r="AO23" s="47">
        <v>1730</v>
      </c>
      <c r="AP23" s="47"/>
      <c r="AQ23" s="96">
        <v>451</v>
      </c>
      <c r="AR23" s="96">
        <v>454</v>
      </c>
      <c r="AS23" s="47">
        <v>0</v>
      </c>
      <c r="AT23" s="47"/>
      <c r="AU23" s="93">
        <v>170</v>
      </c>
      <c r="AV23" s="47">
        <v>1730</v>
      </c>
      <c r="AW23" s="47"/>
      <c r="AX23" s="96"/>
      <c r="AY23" s="96">
        <v>905</v>
      </c>
      <c r="AZ23" s="34">
        <v>175</v>
      </c>
      <c r="BA23" s="34">
        <v>0</v>
      </c>
      <c r="BB23" s="47"/>
      <c r="BC23" s="47"/>
      <c r="BD23" s="47"/>
      <c r="BE23" s="47"/>
      <c r="BF23" s="96">
        <v>120</v>
      </c>
      <c r="BG23" s="96">
        <v>0</v>
      </c>
      <c r="BH23" s="47">
        <v>0</v>
      </c>
      <c r="BI23" s="47"/>
      <c r="BJ23" s="47"/>
      <c r="BK23" s="47"/>
      <c r="BL23" s="47"/>
      <c r="BM23" s="96">
        <v>120</v>
      </c>
      <c r="BN23" s="96">
        <v>0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>
        <v>2.6</v>
      </c>
      <c r="CH23" s="35"/>
      <c r="CI23" s="35"/>
      <c r="CJ23" s="35">
        <v>2.6</v>
      </c>
      <c r="CK23" s="35"/>
      <c r="CL23" s="35">
        <v>0</v>
      </c>
      <c r="CM23" s="51"/>
      <c r="CN23" s="51">
        <v>0</v>
      </c>
      <c r="CO23" s="51"/>
      <c r="CP23" s="51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53"/>
      <c r="EB23" s="53"/>
      <c r="EC23" s="53"/>
      <c r="ED23" s="53"/>
      <c r="EE23" s="53"/>
      <c r="EF23" s="53"/>
      <c r="EG23" s="53"/>
      <c r="EH23" s="53"/>
      <c r="EI23" s="53"/>
      <c r="EJ23" s="35">
        <v>2</v>
      </c>
      <c r="EK23" s="35">
        <v>0</v>
      </c>
      <c r="EL23" s="35">
        <v>0</v>
      </c>
      <c r="EM23" s="35"/>
      <c r="EN23" s="35"/>
      <c r="EO23" s="35"/>
      <c r="EP23" s="51">
        <v>1</v>
      </c>
      <c r="EQ23" s="51">
        <v>1</v>
      </c>
      <c r="ER23" s="51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57"/>
      <c r="IF23" s="50">
        <f t="shared" si="0"/>
        <v>2.6</v>
      </c>
      <c r="IG23" s="50">
        <f t="shared" si="1"/>
        <v>0</v>
      </c>
      <c r="IH23" s="50">
        <f t="shared" si="2"/>
        <v>0</v>
      </c>
      <c r="II23" s="50">
        <f t="shared" si="3"/>
        <v>2.6</v>
      </c>
      <c r="IJ23" s="50">
        <f t="shared" si="5"/>
        <v>0</v>
      </c>
      <c r="IK23" s="50">
        <f t="shared" si="6"/>
        <v>0</v>
      </c>
      <c r="IL23" s="50">
        <f t="shared" si="7"/>
        <v>0</v>
      </c>
      <c r="IM23" s="50">
        <f t="shared" si="8"/>
        <v>0</v>
      </c>
      <c r="IN23" s="47">
        <f t="shared" si="9"/>
        <v>2</v>
      </c>
      <c r="IO23" s="47">
        <f t="shared" si="10"/>
        <v>0</v>
      </c>
      <c r="IP23" s="47">
        <f t="shared" si="11"/>
        <v>0</v>
      </c>
      <c r="IQ23" s="47">
        <f t="shared" si="12"/>
        <v>0</v>
      </c>
      <c r="IR23" s="47">
        <f t="shared" si="13"/>
        <v>0</v>
      </c>
      <c r="IS23" s="47">
        <f t="shared" si="14"/>
        <v>0</v>
      </c>
      <c r="IT23" s="95">
        <f t="shared" si="15"/>
        <v>1</v>
      </c>
      <c r="IU23" s="95">
        <f t="shared" si="16"/>
        <v>1</v>
      </c>
      <c r="IV23" s="36">
        <v>2.5</v>
      </c>
      <c r="IW23" s="52">
        <v>1</v>
      </c>
      <c r="IX23" s="36"/>
      <c r="IY23" s="4"/>
      <c r="IZ23" s="4"/>
    </row>
    <row r="24" spans="1:260" s="5" customFormat="1" ht="15.95" customHeight="1">
      <c r="A24" s="6">
        <v>18</v>
      </c>
      <c r="B24" s="46" t="s">
        <v>86</v>
      </c>
      <c r="C24" s="46" t="s">
        <v>66</v>
      </c>
      <c r="D24" s="46" t="s">
        <v>75</v>
      </c>
      <c r="E24" s="36">
        <v>11.7</v>
      </c>
      <c r="F24" s="36">
        <v>19.5</v>
      </c>
      <c r="G24" s="34">
        <f>750+300</f>
        <v>1050</v>
      </c>
      <c r="H24" s="59"/>
      <c r="I24" s="59">
        <v>750</v>
      </c>
      <c r="J24" s="59"/>
      <c r="K24" s="59"/>
      <c r="L24" s="59"/>
      <c r="M24" s="59"/>
      <c r="N24" s="59"/>
      <c r="O24" s="36">
        <v>0</v>
      </c>
      <c r="P24" s="36"/>
      <c r="Q24" s="36">
        <v>750</v>
      </c>
      <c r="R24" s="36"/>
      <c r="S24" s="36"/>
      <c r="T24" s="36"/>
      <c r="U24" s="36"/>
      <c r="V24" s="34">
        <v>0</v>
      </c>
      <c r="W24" s="34">
        <v>0</v>
      </c>
      <c r="X24" s="34"/>
      <c r="Y24" s="34"/>
      <c r="Z24" s="34"/>
      <c r="AA24" s="34"/>
      <c r="AB24" s="34"/>
      <c r="AC24" s="34"/>
      <c r="AD24" s="34">
        <v>0</v>
      </c>
      <c r="AE24" s="34"/>
      <c r="AF24" s="34"/>
      <c r="AG24" s="34"/>
      <c r="AH24" s="34"/>
      <c r="AI24" s="34"/>
      <c r="AJ24" s="34"/>
      <c r="AK24" s="34">
        <v>1934</v>
      </c>
      <c r="AL24" s="47">
        <v>1482</v>
      </c>
      <c r="AM24" s="47"/>
      <c r="AN24" s="93"/>
      <c r="AO24" s="47"/>
      <c r="AP24" s="47"/>
      <c r="AQ24" s="96"/>
      <c r="AR24" s="96">
        <v>452</v>
      </c>
      <c r="AS24" s="47">
        <v>1482</v>
      </c>
      <c r="AT24" s="47"/>
      <c r="AU24" s="93"/>
      <c r="AV24" s="47"/>
      <c r="AW24" s="47"/>
      <c r="AX24" s="96"/>
      <c r="AY24" s="96">
        <v>452</v>
      </c>
      <c r="AZ24" s="34">
        <v>100</v>
      </c>
      <c r="BA24" s="34">
        <v>100</v>
      </c>
      <c r="BB24" s="47"/>
      <c r="BC24" s="47"/>
      <c r="BD24" s="47"/>
      <c r="BE24" s="47"/>
      <c r="BF24" s="96"/>
      <c r="BG24" s="96">
        <v>0</v>
      </c>
      <c r="BH24" s="47">
        <v>100</v>
      </c>
      <c r="BI24" s="47"/>
      <c r="BJ24" s="47"/>
      <c r="BK24" s="47"/>
      <c r="BL24" s="47"/>
      <c r="BM24" s="96"/>
      <c r="BN24" s="96">
        <v>0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>
        <v>0.9</v>
      </c>
      <c r="CH24" s="35">
        <v>1</v>
      </c>
      <c r="CI24" s="35"/>
      <c r="CJ24" s="35">
        <v>0.9</v>
      </c>
      <c r="CK24" s="35"/>
      <c r="CL24" s="35">
        <v>0</v>
      </c>
      <c r="CM24" s="51"/>
      <c r="CN24" s="51">
        <v>0</v>
      </c>
      <c r="CO24" s="51"/>
      <c r="CP24" s="51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53"/>
      <c r="EB24" s="53"/>
      <c r="EC24" s="53"/>
      <c r="ED24" s="53"/>
      <c r="EE24" s="53"/>
      <c r="EF24" s="53"/>
      <c r="EG24" s="53"/>
      <c r="EH24" s="53"/>
      <c r="EI24" s="53"/>
      <c r="EJ24" s="35">
        <v>1</v>
      </c>
      <c r="EK24" s="35">
        <v>0.3</v>
      </c>
      <c r="EL24" s="35">
        <v>0.7</v>
      </c>
      <c r="EM24" s="35"/>
      <c r="EN24" s="35"/>
      <c r="EO24" s="35"/>
      <c r="EP24" s="51"/>
      <c r="EQ24" s="51">
        <v>0</v>
      </c>
      <c r="ER24" s="51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57"/>
      <c r="IF24" s="50">
        <f t="shared" si="0"/>
        <v>0.9</v>
      </c>
      <c r="IG24" s="50">
        <f t="shared" si="1"/>
        <v>1</v>
      </c>
      <c r="IH24" s="50">
        <f t="shared" si="2"/>
        <v>0</v>
      </c>
      <c r="II24" s="50">
        <f t="shared" si="3"/>
        <v>0.9</v>
      </c>
      <c r="IJ24" s="50">
        <f t="shared" si="5"/>
        <v>0</v>
      </c>
      <c r="IK24" s="50">
        <f t="shared" si="6"/>
        <v>0</v>
      </c>
      <c r="IL24" s="50">
        <f t="shared" si="7"/>
        <v>0</v>
      </c>
      <c r="IM24" s="50">
        <f t="shared" si="8"/>
        <v>0</v>
      </c>
      <c r="IN24" s="47">
        <f t="shared" si="9"/>
        <v>1</v>
      </c>
      <c r="IO24" s="47">
        <f t="shared" si="10"/>
        <v>0.3</v>
      </c>
      <c r="IP24" s="47">
        <f t="shared" si="11"/>
        <v>0.7</v>
      </c>
      <c r="IQ24" s="47">
        <f t="shared" si="12"/>
        <v>0</v>
      </c>
      <c r="IR24" s="47">
        <f t="shared" si="13"/>
        <v>0</v>
      </c>
      <c r="IS24" s="47">
        <f t="shared" si="14"/>
        <v>0</v>
      </c>
      <c r="IT24" s="95">
        <f t="shared" si="15"/>
        <v>0</v>
      </c>
      <c r="IU24" s="95">
        <f t="shared" si="16"/>
        <v>0</v>
      </c>
      <c r="IV24" s="36">
        <v>1.3</v>
      </c>
      <c r="IW24" s="52">
        <v>1</v>
      </c>
      <c r="IX24" s="36"/>
      <c r="IY24" s="4"/>
      <c r="IZ24" s="4"/>
    </row>
    <row r="25" spans="1:260" s="5" customFormat="1" ht="15.95" customHeight="1">
      <c r="A25" s="6">
        <v>19</v>
      </c>
      <c r="B25" s="46" t="s">
        <v>87</v>
      </c>
      <c r="C25" s="46" t="s">
        <v>66</v>
      </c>
      <c r="D25" s="46" t="s">
        <v>75</v>
      </c>
      <c r="E25" s="36">
        <v>19.100000000000001</v>
      </c>
      <c r="F25" s="36">
        <v>8.4</v>
      </c>
      <c r="G25" s="34">
        <f>1500+300</f>
        <v>1800</v>
      </c>
      <c r="H25" s="59"/>
      <c r="I25" s="59">
        <v>1500</v>
      </c>
      <c r="J25" s="59"/>
      <c r="K25" s="59"/>
      <c r="L25" s="59"/>
      <c r="M25" s="59"/>
      <c r="N25" s="59"/>
      <c r="O25" s="36">
        <v>500</v>
      </c>
      <c r="P25" s="36">
        <v>1000</v>
      </c>
      <c r="Q25" s="36"/>
      <c r="R25" s="36"/>
      <c r="S25" s="36"/>
      <c r="T25" s="36"/>
      <c r="U25" s="36"/>
      <c r="V25" s="34">
        <v>0</v>
      </c>
      <c r="W25" s="34">
        <v>0</v>
      </c>
      <c r="X25" s="34"/>
      <c r="Y25" s="34"/>
      <c r="Z25" s="34"/>
      <c r="AA25" s="34"/>
      <c r="AB25" s="34"/>
      <c r="AC25" s="34"/>
      <c r="AD25" s="34">
        <v>0</v>
      </c>
      <c r="AE25" s="34"/>
      <c r="AF25" s="34"/>
      <c r="AG25" s="34"/>
      <c r="AH25" s="34"/>
      <c r="AI25" s="34"/>
      <c r="AJ25" s="34"/>
      <c r="AK25" s="34">
        <v>4754</v>
      </c>
      <c r="AL25" s="47">
        <v>2402</v>
      </c>
      <c r="AM25" s="47"/>
      <c r="AN25" s="93"/>
      <c r="AO25" s="47"/>
      <c r="AP25" s="47"/>
      <c r="AQ25" s="96">
        <v>433</v>
      </c>
      <c r="AR25" s="96">
        <v>1919</v>
      </c>
      <c r="AS25" s="47">
        <v>0</v>
      </c>
      <c r="AT25" s="47">
        <v>1910</v>
      </c>
      <c r="AU25" s="93"/>
      <c r="AV25" s="47"/>
      <c r="AW25" s="47"/>
      <c r="AX25" s="96"/>
      <c r="AY25" s="96">
        <v>2844</v>
      </c>
      <c r="AZ25" s="34">
        <v>113</v>
      </c>
      <c r="BA25" s="34">
        <v>113</v>
      </c>
      <c r="BB25" s="47"/>
      <c r="BC25" s="47"/>
      <c r="BD25" s="47"/>
      <c r="BE25" s="47"/>
      <c r="BF25" s="96">
        <v>20</v>
      </c>
      <c r="BG25" s="96">
        <v>20</v>
      </c>
      <c r="BH25" s="47">
        <v>113</v>
      </c>
      <c r="BI25" s="47"/>
      <c r="BJ25" s="47"/>
      <c r="BK25" s="47"/>
      <c r="BL25" s="47"/>
      <c r="BM25" s="96">
        <v>20</v>
      </c>
      <c r="BN25" s="96">
        <v>20</v>
      </c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>
        <v>3.3</v>
      </c>
      <c r="CH25" s="35"/>
      <c r="CI25" s="35"/>
      <c r="CJ25" s="35">
        <v>3.3</v>
      </c>
      <c r="CK25" s="35"/>
      <c r="CL25" s="35">
        <v>0</v>
      </c>
      <c r="CM25" s="51"/>
      <c r="CN25" s="51">
        <v>0</v>
      </c>
      <c r="CO25" s="51"/>
      <c r="CP25" s="51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53"/>
      <c r="EB25" s="53"/>
      <c r="EC25" s="53"/>
      <c r="ED25" s="53"/>
      <c r="EE25" s="53"/>
      <c r="EF25" s="53"/>
      <c r="EG25" s="53"/>
      <c r="EH25" s="53"/>
      <c r="EI25" s="53"/>
      <c r="EJ25" s="35">
        <v>2</v>
      </c>
      <c r="EK25" s="35">
        <v>0</v>
      </c>
      <c r="EL25" s="35">
        <v>1</v>
      </c>
      <c r="EM25" s="35">
        <v>1</v>
      </c>
      <c r="EN25" s="35"/>
      <c r="EO25" s="35"/>
      <c r="EP25" s="51">
        <v>0</v>
      </c>
      <c r="EQ25" s="51">
        <v>0</v>
      </c>
      <c r="ER25" s="51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57"/>
      <c r="IF25" s="50">
        <f t="shared" si="0"/>
        <v>3.3</v>
      </c>
      <c r="IG25" s="50">
        <f t="shared" si="1"/>
        <v>0</v>
      </c>
      <c r="IH25" s="50">
        <f t="shared" si="2"/>
        <v>0</v>
      </c>
      <c r="II25" s="50">
        <f t="shared" si="3"/>
        <v>3.3</v>
      </c>
      <c r="IJ25" s="50">
        <f t="shared" si="5"/>
        <v>0</v>
      </c>
      <c r="IK25" s="50">
        <f t="shared" si="6"/>
        <v>0</v>
      </c>
      <c r="IL25" s="50">
        <f t="shared" si="7"/>
        <v>0</v>
      </c>
      <c r="IM25" s="50">
        <f t="shared" si="8"/>
        <v>0</v>
      </c>
      <c r="IN25" s="47">
        <f t="shared" si="9"/>
        <v>2</v>
      </c>
      <c r="IO25" s="47">
        <f t="shared" si="10"/>
        <v>0</v>
      </c>
      <c r="IP25" s="47">
        <f t="shared" si="11"/>
        <v>1</v>
      </c>
      <c r="IQ25" s="47">
        <f t="shared" si="12"/>
        <v>1</v>
      </c>
      <c r="IR25" s="47">
        <f t="shared" si="13"/>
        <v>0</v>
      </c>
      <c r="IS25" s="47">
        <f t="shared" si="14"/>
        <v>0</v>
      </c>
      <c r="IT25" s="95">
        <f t="shared" si="15"/>
        <v>0</v>
      </c>
      <c r="IU25" s="95">
        <f t="shared" si="16"/>
        <v>0</v>
      </c>
      <c r="IV25" s="36">
        <v>0</v>
      </c>
      <c r="IW25" s="52">
        <v>1</v>
      </c>
      <c r="IX25" s="36"/>
      <c r="IY25" s="4"/>
      <c r="IZ25" s="4"/>
    </row>
    <row r="26" spans="1:260" s="5" customFormat="1" ht="15.95" customHeight="1">
      <c r="A26" s="6">
        <v>20</v>
      </c>
      <c r="B26" s="46" t="s">
        <v>88</v>
      </c>
      <c r="C26" s="46" t="s">
        <v>66</v>
      </c>
      <c r="D26" s="46" t="s">
        <v>75</v>
      </c>
      <c r="E26" s="36">
        <v>17</v>
      </c>
      <c r="F26" s="36">
        <v>28.3</v>
      </c>
      <c r="G26" s="34">
        <f>1500+600</f>
        <v>2100</v>
      </c>
      <c r="H26" s="59"/>
      <c r="I26" s="59">
        <v>1500</v>
      </c>
      <c r="J26" s="59"/>
      <c r="K26" s="59"/>
      <c r="L26" s="59"/>
      <c r="M26" s="59"/>
      <c r="N26" s="59"/>
      <c r="O26" s="36">
        <v>0</v>
      </c>
      <c r="P26" s="36">
        <v>500</v>
      </c>
      <c r="Q26" s="36">
        <v>1000</v>
      </c>
      <c r="R26" s="36"/>
      <c r="S26" s="36"/>
      <c r="T26" s="36"/>
      <c r="U26" s="36"/>
      <c r="V26" s="34">
        <v>0</v>
      </c>
      <c r="W26" s="34">
        <v>0</v>
      </c>
      <c r="X26" s="34"/>
      <c r="Y26" s="34"/>
      <c r="Z26" s="34"/>
      <c r="AA26" s="34"/>
      <c r="AB26" s="34"/>
      <c r="AC26" s="34"/>
      <c r="AD26" s="34">
        <v>0</v>
      </c>
      <c r="AE26" s="34"/>
      <c r="AF26" s="34"/>
      <c r="AG26" s="34"/>
      <c r="AH26" s="34"/>
      <c r="AI26" s="34"/>
      <c r="AJ26" s="34"/>
      <c r="AK26" s="34">
        <v>2932</v>
      </c>
      <c r="AL26" s="47">
        <v>1251</v>
      </c>
      <c r="AM26" s="47"/>
      <c r="AN26" s="93"/>
      <c r="AO26" s="47"/>
      <c r="AP26" s="47"/>
      <c r="AQ26" s="96">
        <v>288</v>
      </c>
      <c r="AR26" s="96">
        <v>1393</v>
      </c>
      <c r="AS26" s="47">
        <v>0</v>
      </c>
      <c r="AT26" s="47">
        <v>700</v>
      </c>
      <c r="AU26" s="93">
        <v>551</v>
      </c>
      <c r="AV26" s="47"/>
      <c r="AW26" s="47"/>
      <c r="AX26" s="96"/>
      <c r="AY26" s="96">
        <v>1681</v>
      </c>
      <c r="AZ26" s="34">
        <v>289</v>
      </c>
      <c r="BA26" s="34">
        <v>113</v>
      </c>
      <c r="BB26" s="47"/>
      <c r="BC26" s="47"/>
      <c r="BD26" s="47"/>
      <c r="BE26" s="47">
        <v>77</v>
      </c>
      <c r="BF26" s="96">
        <v>100</v>
      </c>
      <c r="BG26" s="96">
        <v>0</v>
      </c>
      <c r="BH26" s="47">
        <v>0</v>
      </c>
      <c r="BI26" s="47">
        <v>113</v>
      </c>
      <c r="BJ26" s="47"/>
      <c r="BK26" s="47"/>
      <c r="BL26" s="47">
        <v>77</v>
      </c>
      <c r="BM26" s="96">
        <v>100</v>
      </c>
      <c r="BN26" s="96">
        <v>0</v>
      </c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>
        <v>1.3</v>
      </c>
      <c r="CH26" s="35"/>
      <c r="CI26" s="35"/>
      <c r="CJ26" s="35">
        <v>1.3</v>
      </c>
      <c r="CK26" s="35"/>
      <c r="CL26" s="35">
        <v>0</v>
      </c>
      <c r="CM26" s="51"/>
      <c r="CN26" s="51">
        <v>0</v>
      </c>
      <c r="CO26" s="51"/>
      <c r="CP26" s="51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53"/>
      <c r="EB26" s="53"/>
      <c r="EC26" s="53"/>
      <c r="ED26" s="53"/>
      <c r="EE26" s="53"/>
      <c r="EF26" s="53"/>
      <c r="EG26" s="53"/>
      <c r="EH26" s="53"/>
      <c r="EI26" s="53"/>
      <c r="EJ26" s="35">
        <v>5.2</v>
      </c>
      <c r="EK26" s="35">
        <v>0</v>
      </c>
      <c r="EL26" s="35">
        <v>1</v>
      </c>
      <c r="EM26" s="35"/>
      <c r="EN26" s="35"/>
      <c r="EO26" s="35">
        <v>1</v>
      </c>
      <c r="EP26" s="51">
        <v>1</v>
      </c>
      <c r="EQ26" s="51">
        <v>2.2000000000000002</v>
      </c>
      <c r="ER26" s="51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57"/>
      <c r="IF26" s="50">
        <f t="shared" si="0"/>
        <v>1.3</v>
      </c>
      <c r="IG26" s="50">
        <f t="shared" si="1"/>
        <v>0</v>
      </c>
      <c r="IH26" s="50">
        <f t="shared" si="2"/>
        <v>0</v>
      </c>
      <c r="II26" s="50">
        <f t="shared" si="3"/>
        <v>1.3</v>
      </c>
      <c r="IJ26" s="50">
        <f t="shared" si="5"/>
        <v>0</v>
      </c>
      <c r="IK26" s="50">
        <f t="shared" si="6"/>
        <v>0</v>
      </c>
      <c r="IL26" s="50">
        <f t="shared" si="7"/>
        <v>0</v>
      </c>
      <c r="IM26" s="50">
        <f t="shared" si="8"/>
        <v>0</v>
      </c>
      <c r="IN26" s="47">
        <f t="shared" si="9"/>
        <v>5.2</v>
      </c>
      <c r="IO26" s="47">
        <f t="shared" si="10"/>
        <v>0</v>
      </c>
      <c r="IP26" s="47">
        <f t="shared" si="11"/>
        <v>1</v>
      </c>
      <c r="IQ26" s="47">
        <f t="shared" si="12"/>
        <v>0</v>
      </c>
      <c r="IR26" s="47">
        <f t="shared" si="13"/>
        <v>0</v>
      </c>
      <c r="IS26" s="47">
        <f t="shared" si="14"/>
        <v>1</v>
      </c>
      <c r="IT26" s="95">
        <f t="shared" si="15"/>
        <v>1</v>
      </c>
      <c r="IU26" s="95">
        <f t="shared" si="16"/>
        <v>2.2000000000000002</v>
      </c>
      <c r="IV26" s="36">
        <v>1.3</v>
      </c>
      <c r="IW26" s="52">
        <v>1</v>
      </c>
      <c r="IX26" s="36"/>
      <c r="IY26" s="4"/>
      <c r="IZ26" s="4"/>
    </row>
    <row r="27" spans="1:260" s="5" customFormat="1" ht="15.95" customHeight="1">
      <c r="A27" s="12">
        <v>21</v>
      </c>
      <c r="B27" s="46" t="s">
        <v>89</v>
      </c>
      <c r="C27" s="46" t="s">
        <v>66</v>
      </c>
      <c r="D27" s="46" t="s">
        <v>75</v>
      </c>
      <c r="E27" s="36">
        <v>15.3</v>
      </c>
      <c r="F27" s="36">
        <v>8.4</v>
      </c>
      <c r="G27" s="34">
        <f>1500+300</f>
        <v>1800</v>
      </c>
      <c r="H27" s="59"/>
      <c r="I27" s="59">
        <v>1500</v>
      </c>
      <c r="J27" s="59"/>
      <c r="K27" s="59"/>
      <c r="L27" s="59"/>
      <c r="M27" s="59"/>
      <c r="N27" s="59"/>
      <c r="O27" s="36">
        <v>500</v>
      </c>
      <c r="P27" s="36">
        <v>1000</v>
      </c>
      <c r="Q27" s="36"/>
      <c r="R27" s="36"/>
      <c r="S27" s="36"/>
      <c r="T27" s="36"/>
      <c r="U27" s="36"/>
      <c r="V27" s="34">
        <v>0</v>
      </c>
      <c r="W27" s="34">
        <v>0</v>
      </c>
      <c r="X27" s="34"/>
      <c r="Y27" s="34"/>
      <c r="Z27" s="34"/>
      <c r="AA27" s="34"/>
      <c r="AB27" s="34"/>
      <c r="AC27" s="34"/>
      <c r="AD27" s="34">
        <v>0</v>
      </c>
      <c r="AE27" s="34"/>
      <c r="AF27" s="34"/>
      <c r="AG27" s="34"/>
      <c r="AH27" s="34"/>
      <c r="AI27" s="34"/>
      <c r="AJ27" s="34"/>
      <c r="AK27" s="34">
        <v>4433</v>
      </c>
      <c r="AL27" s="47">
        <v>1316</v>
      </c>
      <c r="AM27" s="47"/>
      <c r="AN27" s="93"/>
      <c r="AO27" s="47"/>
      <c r="AP27" s="47"/>
      <c r="AQ27" s="96">
        <v>167</v>
      </c>
      <c r="AR27" s="96">
        <v>2950</v>
      </c>
      <c r="AS27" s="47">
        <v>0</v>
      </c>
      <c r="AT27" s="47">
        <v>740</v>
      </c>
      <c r="AU27" s="93"/>
      <c r="AV27" s="47"/>
      <c r="AW27" s="47"/>
      <c r="AX27" s="96"/>
      <c r="AY27" s="96">
        <v>3693</v>
      </c>
      <c r="AZ27" s="34">
        <v>275</v>
      </c>
      <c r="BA27" s="34">
        <v>100</v>
      </c>
      <c r="BB27" s="47"/>
      <c r="BC27" s="47"/>
      <c r="BD27" s="47"/>
      <c r="BE27" s="47"/>
      <c r="BF27" s="96">
        <v>100</v>
      </c>
      <c r="BG27" s="96">
        <v>0</v>
      </c>
      <c r="BH27" s="47">
        <v>0</v>
      </c>
      <c r="BI27" s="47">
        <v>100</v>
      </c>
      <c r="BJ27" s="47"/>
      <c r="BK27" s="47"/>
      <c r="BL27" s="47"/>
      <c r="BM27" s="96">
        <v>100</v>
      </c>
      <c r="BN27" s="96">
        <v>0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>
        <v>1.2</v>
      </c>
      <c r="CH27" s="35"/>
      <c r="CI27" s="35"/>
      <c r="CJ27" s="35">
        <v>1.2</v>
      </c>
      <c r="CK27" s="35"/>
      <c r="CL27" s="35">
        <v>0</v>
      </c>
      <c r="CM27" s="51"/>
      <c r="CN27" s="51">
        <v>0</v>
      </c>
      <c r="CO27" s="51"/>
      <c r="CP27" s="51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53"/>
      <c r="EB27" s="53"/>
      <c r="EC27" s="53"/>
      <c r="ED27" s="53"/>
      <c r="EE27" s="53"/>
      <c r="EF27" s="53"/>
      <c r="EG27" s="53"/>
      <c r="EH27" s="53"/>
      <c r="EI27" s="53"/>
      <c r="EJ27" s="35">
        <v>2</v>
      </c>
      <c r="EK27" s="35">
        <v>0.3</v>
      </c>
      <c r="EL27" s="35">
        <v>0.7</v>
      </c>
      <c r="EM27" s="35"/>
      <c r="EN27" s="35"/>
      <c r="EO27" s="35"/>
      <c r="EP27" s="51">
        <v>1</v>
      </c>
      <c r="EQ27" s="51">
        <v>0</v>
      </c>
      <c r="ER27" s="51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57"/>
      <c r="IF27" s="50">
        <f t="shared" si="0"/>
        <v>1.2</v>
      </c>
      <c r="IG27" s="50">
        <f t="shared" si="1"/>
        <v>0</v>
      </c>
      <c r="IH27" s="50">
        <f t="shared" si="2"/>
        <v>0</v>
      </c>
      <c r="II27" s="50">
        <f t="shared" si="3"/>
        <v>1.2</v>
      </c>
      <c r="IJ27" s="50">
        <f t="shared" si="5"/>
        <v>0</v>
      </c>
      <c r="IK27" s="50">
        <f t="shared" si="6"/>
        <v>0</v>
      </c>
      <c r="IL27" s="50">
        <f t="shared" si="7"/>
        <v>0</v>
      </c>
      <c r="IM27" s="50">
        <f t="shared" si="8"/>
        <v>0</v>
      </c>
      <c r="IN27" s="47">
        <f t="shared" si="9"/>
        <v>2</v>
      </c>
      <c r="IO27" s="47">
        <f t="shared" si="10"/>
        <v>0.3</v>
      </c>
      <c r="IP27" s="47">
        <f t="shared" si="11"/>
        <v>0.7</v>
      </c>
      <c r="IQ27" s="47">
        <f t="shared" si="12"/>
        <v>0</v>
      </c>
      <c r="IR27" s="47">
        <f t="shared" si="13"/>
        <v>0</v>
      </c>
      <c r="IS27" s="47">
        <f t="shared" si="14"/>
        <v>0</v>
      </c>
      <c r="IT27" s="95">
        <f t="shared" si="15"/>
        <v>1</v>
      </c>
      <c r="IU27" s="95">
        <f t="shared" si="16"/>
        <v>0</v>
      </c>
      <c r="IV27" s="36">
        <v>0</v>
      </c>
      <c r="IW27" s="52">
        <v>1</v>
      </c>
      <c r="IX27" s="36"/>
      <c r="IY27" s="4"/>
      <c r="IZ27" s="4"/>
    </row>
    <row r="28" spans="1:260" s="5" customFormat="1" ht="15.95" customHeight="1">
      <c r="A28" s="6">
        <v>22</v>
      </c>
      <c r="B28" s="46" t="s">
        <v>90</v>
      </c>
      <c r="C28" s="46" t="s">
        <v>66</v>
      </c>
      <c r="D28" s="46" t="s">
        <v>75</v>
      </c>
      <c r="E28" s="36">
        <v>2</v>
      </c>
      <c r="F28" s="36">
        <v>0</v>
      </c>
      <c r="G28" s="34">
        <v>500</v>
      </c>
      <c r="H28" s="59"/>
      <c r="I28" s="59">
        <v>0</v>
      </c>
      <c r="J28" s="59"/>
      <c r="K28" s="59"/>
      <c r="L28" s="59"/>
      <c r="M28" s="59"/>
      <c r="N28" s="59"/>
      <c r="O28" s="36">
        <v>0</v>
      </c>
      <c r="P28" s="36"/>
      <c r="Q28" s="36"/>
      <c r="R28" s="36"/>
      <c r="S28" s="36"/>
      <c r="T28" s="36"/>
      <c r="U28" s="36"/>
      <c r="V28" s="34">
        <v>703</v>
      </c>
      <c r="W28" s="34">
        <v>0</v>
      </c>
      <c r="X28" s="34">
        <v>703</v>
      </c>
      <c r="Y28" s="34"/>
      <c r="Z28" s="34"/>
      <c r="AA28" s="34"/>
      <c r="AB28" s="34"/>
      <c r="AC28" s="34"/>
      <c r="AD28" s="34">
        <v>0</v>
      </c>
      <c r="AE28" s="34"/>
      <c r="AF28" s="34">
        <v>200</v>
      </c>
      <c r="AG28" s="34"/>
      <c r="AH28" s="34"/>
      <c r="AI28" s="34"/>
      <c r="AJ28" s="34">
        <v>503</v>
      </c>
      <c r="AK28" s="34">
        <v>1684</v>
      </c>
      <c r="AL28" s="47">
        <v>1406</v>
      </c>
      <c r="AM28" s="47"/>
      <c r="AN28" s="93"/>
      <c r="AO28" s="47"/>
      <c r="AP28" s="47"/>
      <c r="AQ28" s="96"/>
      <c r="AR28" s="96">
        <v>278</v>
      </c>
      <c r="AS28" s="47">
        <v>1406</v>
      </c>
      <c r="AT28" s="47"/>
      <c r="AU28" s="93"/>
      <c r="AV28" s="47"/>
      <c r="AW28" s="47"/>
      <c r="AX28" s="96"/>
      <c r="AY28" s="96">
        <v>278</v>
      </c>
      <c r="AZ28" s="34">
        <v>195</v>
      </c>
      <c r="BA28" s="34">
        <v>100</v>
      </c>
      <c r="BB28" s="47"/>
      <c r="BC28" s="47"/>
      <c r="BD28" s="47"/>
      <c r="BE28" s="47"/>
      <c r="BF28" s="96">
        <v>95</v>
      </c>
      <c r="BG28" s="96">
        <v>0</v>
      </c>
      <c r="BH28" s="47">
        <v>100</v>
      </c>
      <c r="BI28" s="47"/>
      <c r="BJ28" s="47"/>
      <c r="BK28" s="47"/>
      <c r="BL28" s="47"/>
      <c r="BM28" s="96">
        <v>95</v>
      </c>
      <c r="BN28" s="96">
        <v>0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>
        <v>0.04</v>
      </c>
      <c r="CH28" s="35">
        <v>0.5</v>
      </c>
      <c r="CI28" s="35"/>
      <c r="CJ28" s="35">
        <v>0.04</v>
      </c>
      <c r="CK28" s="35"/>
      <c r="CL28" s="35">
        <v>0</v>
      </c>
      <c r="CM28" s="51"/>
      <c r="CN28" s="51">
        <v>0</v>
      </c>
      <c r="CO28" s="51"/>
      <c r="CP28" s="51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53"/>
      <c r="EB28" s="53"/>
      <c r="EC28" s="53"/>
      <c r="ED28" s="53"/>
      <c r="EE28" s="53"/>
      <c r="EF28" s="53"/>
      <c r="EG28" s="53"/>
      <c r="EH28" s="53"/>
      <c r="EI28" s="53"/>
      <c r="EJ28" s="35">
        <v>0.8</v>
      </c>
      <c r="EK28" s="35">
        <v>0.3</v>
      </c>
      <c r="EL28" s="35">
        <v>1</v>
      </c>
      <c r="EM28" s="35"/>
      <c r="EN28" s="35"/>
      <c r="EO28" s="35"/>
      <c r="EP28" s="51">
        <v>1</v>
      </c>
      <c r="EQ28" s="51">
        <v>0</v>
      </c>
      <c r="ER28" s="51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6"/>
      <c r="FM28" s="36"/>
      <c r="FN28" s="36"/>
      <c r="FO28" s="36"/>
      <c r="FP28" s="36"/>
      <c r="FQ28" s="36"/>
      <c r="FR28" s="36"/>
      <c r="FS28" s="36"/>
      <c r="FT28" s="36">
        <v>1</v>
      </c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57"/>
      <c r="IF28" s="50">
        <f t="shared" si="0"/>
        <v>0.04</v>
      </c>
      <c r="IG28" s="50">
        <f t="shared" si="1"/>
        <v>0.5</v>
      </c>
      <c r="IH28" s="50">
        <f t="shared" si="2"/>
        <v>0</v>
      </c>
      <c r="II28" s="50">
        <f t="shared" si="3"/>
        <v>0.04</v>
      </c>
      <c r="IJ28" s="50">
        <f t="shared" si="5"/>
        <v>0</v>
      </c>
      <c r="IK28" s="50">
        <f t="shared" si="6"/>
        <v>0</v>
      </c>
      <c r="IL28" s="50">
        <f t="shared" si="7"/>
        <v>0</v>
      </c>
      <c r="IM28" s="50">
        <f t="shared" si="8"/>
        <v>0</v>
      </c>
      <c r="IN28" s="47">
        <f t="shared" si="9"/>
        <v>0.8</v>
      </c>
      <c r="IO28" s="47">
        <f t="shared" si="10"/>
        <v>0.3</v>
      </c>
      <c r="IP28" s="47">
        <f t="shared" si="11"/>
        <v>1</v>
      </c>
      <c r="IQ28" s="47">
        <f t="shared" si="12"/>
        <v>0</v>
      </c>
      <c r="IR28" s="47">
        <f t="shared" si="13"/>
        <v>0</v>
      </c>
      <c r="IS28" s="47">
        <f t="shared" si="14"/>
        <v>0</v>
      </c>
      <c r="IT28" s="95">
        <f t="shared" si="15"/>
        <v>1</v>
      </c>
      <c r="IU28" s="95">
        <f t="shared" si="16"/>
        <v>0</v>
      </c>
      <c r="IV28" s="36">
        <v>0</v>
      </c>
      <c r="IW28" s="52">
        <v>1</v>
      </c>
      <c r="IX28" s="36"/>
      <c r="IY28" s="4"/>
      <c r="IZ28" s="4"/>
    </row>
    <row r="29" spans="1:260" s="5" customFormat="1" ht="15.95" customHeight="1">
      <c r="A29" s="6">
        <v>23</v>
      </c>
      <c r="B29" s="46" t="s">
        <v>91</v>
      </c>
      <c r="C29" s="46" t="s">
        <v>66</v>
      </c>
      <c r="D29" s="46" t="s">
        <v>75</v>
      </c>
      <c r="E29" s="36">
        <v>13.4</v>
      </c>
      <c r="F29" s="36">
        <v>25</v>
      </c>
      <c r="G29" s="34">
        <f>1500+600</f>
        <v>2100</v>
      </c>
      <c r="H29" s="59"/>
      <c r="I29" s="59">
        <v>1500</v>
      </c>
      <c r="J29" s="59"/>
      <c r="K29" s="59"/>
      <c r="L29" s="59"/>
      <c r="M29" s="59"/>
      <c r="N29" s="59"/>
      <c r="O29" s="36">
        <v>1500</v>
      </c>
      <c r="P29" s="36"/>
      <c r="Q29" s="36"/>
      <c r="R29" s="36"/>
      <c r="S29" s="36"/>
      <c r="T29" s="36"/>
      <c r="U29" s="36"/>
      <c r="V29" s="34">
        <v>0</v>
      </c>
      <c r="W29" s="34">
        <v>0</v>
      </c>
      <c r="X29" s="34"/>
      <c r="Y29" s="34"/>
      <c r="Z29" s="34"/>
      <c r="AA29" s="34"/>
      <c r="AB29" s="34"/>
      <c r="AC29" s="34"/>
      <c r="AD29" s="34">
        <v>0</v>
      </c>
      <c r="AE29" s="34"/>
      <c r="AF29" s="34"/>
      <c r="AG29" s="34"/>
      <c r="AH29" s="34"/>
      <c r="AI29" s="34"/>
      <c r="AJ29" s="34"/>
      <c r="AK29" s="34">
        <v>2306</v>
      </c>
      <c r="AL29" s="47">
        <v>1325</v>
      </c>
      <c r="AM29" s="47"/>
      <c r="AN29" s="93"/>
      <c r="AO29" s="47"/>
      <c r="AP29" s="47"/>
      <c r="AQ29" s="96"/>
      <c r="AR29" s="96">
        <v>981</v>
      </c>
      <c r="AS29" s="47">
        <v>1325</v>
      </c>
      <c r="AT29" s="47"/>
      <c r="AU29" s="93"/>
      <c r="AV29" s="47"/>
      <c r="AW29" s="47"/>
      <c r="AX29" s="96"/>
      <c r="AY29" s="96">
        <v>981</v>
      </c>
      <c r="AZ29" s="34">
        <v>350</v>
      </c>
      <c r="BA29" s="34">
        <v>275</v>
      </c>
      <c r="BB29" s="47"/>
      <c r="BC29" s="47"/>
      <c r="BD29" s="47"/>
      <c r="BE29" s="47"/>
      <c r="BF29" s="96">
        <v>95</v>
      </c>
      <c r="BG29" s="96">
        <v>0</v>
      </c>
      <c r="BH29" s="47">
        <v>275</v>
      </c>
      <c r="BI29" s="47"/>
      <c r="BJ29" s="47"/>
      <c r="BK29" s="47"/>
      <c r="BL29" s="47"/>
      <c r="BM29" s="96">
        <v>95</v>
      </c>
      <c r="BN29" s="96">
        <v>0</v>
      </c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>
        <v>1</v>
      </c>
      <c r="CH29" s="35">
        <v>1</v>
      </c>
      <c r="CI29" s="35"/>
      <c r="CJ29" s="35"/>
      <c r="CK29" s="35"/>
      <c r="CL29" s="35">
        <v>0</v>
      </c>
      <c r="CM29" s="51"/>
      <c r="CN29" s="51">
        <v>0</v>
      </c>
      <c r="CO29" s="51"/>
      <c r="CP29" s="51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53"/>
      <c r="EB29" s="53"/>
      <c r="EC29" s="53"/>
      <c r="ED29" s="53"/>
      <c r="EE29" s="53"/>
      <c r="EF29" s="53"/>
      <c r="EG29" s="53"/>
      <c r="EH29" s="53"/>
      <c r="EI29" s="53"/>
      <c r="EJ29" s="35">
        <v>1.8</v>
      </c>
      <c r="EK29" s="35">
        <v>2</v>
      </c>
      <c r="EL29" s="35">
        <v>0</v>
      </c>
      <c r="EM29" s="35"/>
      <c r="EN29" s="35"/>
      <c r="EO29" s="35"/>
      <c r="EP29" s="51">
        <v>1</v>
      </c>
      <c r="EQ29" s="51">
        <v>0</v>
      </c>
      <c r="ER29" s="51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57"/>
      <c r="IF29" s="50">
        <f t="shared" si="0"/>
        <v>1</v>
      </c>
      <c r="IG29" s="50">
        <f t="shared" si="1"/>
        <v>1</v>
      </c>
      <c r="IH29" s="50">
        <f t="shared" si="2"/>
        <v>0</v>
      </c>
      <c r="II29" s="50">
        <f t="shared" si="3"/>
        <v>0</v>
      </c>
      <c r="IJ29" s="50">
        <f t="shared" si="5"/>
        <v>0</v>
      </c>
      <c r="IK29" s="50">
        <f t="shared" si="6"/>
        <v>0</v>
      </c>
      <c r="IL29" s="50">
        <f t="shared" si="7"/>
        <v>0</v>
      </c>
      <c r="IM29" s="50">
        <f t="shared" si="8"/>
        <v>0</v>
      </c>
      <c r="IN29" s="47">
        <f t="shared" si="9"/>
        <v>1.8</v>
      </c>
      <c r="IO29" s="47">
        <f t="shared" si="10"/>
        <v>2</v>
      </c>
      <c r="IP29" s="47">
        <f t="shared" si="11"/>
        <v>0</v>
      </c>
      <c r="IQ29" s="47">
        <f t="shared" si="12"/>
        <v>0</v>
      </c>
      <c r="IR29" s="47">
        <f t="shared" si="13"/>
        <v>0</v>
      </c>
      <c r="IS29" s="47">
        <f t="shared" si="14"/>
        <v>0</v>
      </c>
      <c r="IT29" s="95">
        <f t="shared" si="15"/>
        <v>1</v>
      </c>
      <c r="IU29" s="95">
        <f t="shared" si="16"/>
        <v>0</v>
      </c>
      <c r="IV29" s="36">
        <v>1.2</v>
      </c>
      <c r="IW29" s="52">
        <v>1</v>
      </c>
      <c r="IX29" s="36"/>
      <c r="IY29" s="4"/>
      <c r="IZ29" s="4"/>
    </row>
    <row r="30" spans="1:260" s="5" customFormat="1" ht="15.95" customHeight="1">
      <c r="A30" s="6">
        <v>24</v>
      </c>
      <c r="B30" s="46" t="s">
        <v>92</v>
      </c>
      <c r="C30" s="46" t="s">
        <v>66</v>
      </c>
      <c r="D30" s="46" t="s">
        <v>75</v>
      </c>
      <c r="E30" s="36">
        <v>17.399999999999999</v>
      </c>
      <c r="F30" s="36">
        <v>0</v>
      </c>
      <c r="G30" s="34">
        <v>600</v>
      </c>
      <c r="H30" s="59"/>
      <c r="I30" s="59">
        <v>0</v>
      </c>
      <c r="J30" s="59"/>
      <c r="K30" s="59"/>
      <c r="L30" s="59"/>
      <c r="M30" s="59"/>
      <c r="N30" s="59"/>
      <c r="O30" s="36">
        <v>0</v>
      </c>
      <c r="P30" s="36"/>
      <c r="Q30" s="36"/>
      <c r="R30" s="36"/>
      <c r="S30" s="36"/>
      <c r="T30" s="36"/>
      <c r="U30" s="36"/>
      <c r="V30" s="34">
        <v>703</v>
      </c>
      <c r="W30" s="34">
        <v>0</v>
      </c>
      <c r="X30" s="34">
        <v>703</v>
      </c>
      <c r="Y30" s="34"/>
      <c r="Z30" s="34"/>
      <c r="AA30" s="34"/>
      <c r="AB30" s="34"/>
      <c r="AC30" s="34"/>
      <c r="AD30" s="34">
        <v>0</v>
      </c>
      <c r="AE30" s="34"/>
      <c r="AF30" s="34">
        <v>0</v>
      </c>
      <c r="AG30" s="34">
        <v>535</v>
      </c>
      <c r="AH30" s="34"/>
      <c r="AI30" s="34"/>
      <c r="AJ30" s="34">
        <v>168</v>
      </c>
      <c r="AK30" s="34">
        <v>2624</v>
      </c>
      <c r="AL30" s="47">
        <v>0</v>
      </c>
      <c r="AM30" s="47"/>
      <c r="AN30" s="93">
        <v>452</v>
      </c>
      <c r="AO30" s="47"/>
      <c r="AP30" s="47">
        <v>2624</v>
      </c>
      <c r="AQ30" s="96"/>
      <c r="AR30" s="96">
        <v>0</v>
      </c>
      <c r="AS30" s="47">
        <v>0</v>
      </c>
      <c r="AT30" s="47"/>
      <c r="AU30" s="93"/>
      <c r="AV30" s="47"/>
      <c r="AW30" s="47">
        <v>2624</v>
      </c>
      <c r="AX30" s="96"/>
      <c r="AY30" s="96">
        <v>452</v>
      </c>
      <c r="AZ30" s="34">
        <v>195</v>
      </c>
      <c r="BA30" s="34">
        <v>0</v>
      </c>
      <c r="BB30" s="47"/>
      <c r="BC30" s="47"/>
      <c r="BD30" s="47"/>
      <c r="BE30" s="47"/>
      <c r="BF30" s="96">
        <v>120</v>
      </c>
      <c r="BG30" s="96">
        <v>0</v>
      </c>
      <c r="BH30" s="47">
        <v>0</v>
      </c>
      <c r="BI30" s="47"/>
      <c r="BJ30" s="47"/>
      <c r="BK30" s="47"/>
      <c r="BL30" s="47"/>
      <c r="BM30" s="96">
        <v>120</v>
      </c>
      <c r="BN30" s="96">
        <v>0</v>
      </c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>
        <v>0.5</v>
      </c>
      <c r="CH30" s="35"/>
      <c r="CI30" s="35"/>
      <c r="CJ30" s="35"/>
      <c r="CK30" s="35"/>
      <c r="CL30" s="35">
        <v>0.5</v>
      </c>
      <c r="CM30" s="51"/>
      <c r="CN30" s="51">
        <v>0</v>
      </c>
      <c r="CO30" s="51"/>
      <c r="CP30" s="51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53"/>
      <c r="EB30" s="53"/>
      <c r="EC30" s="53"/>
      <c r="ED30" s="53"/>
      <c r="EE30" s="53"/>
      <c r="EF30" s="53"/>
      <c r="EG30" s="53"/>
      <c r="EH30" s="53"/>
      <c r="EI30" s="53"/>
      <c r="EJ30" s="35">
        <v>2</v>
      </c>
      <c r="EK30" s="35">
        <v>0</v>
      </c>
      <c r="EL30" s="35">
        <v>0.3</v>
      </c>
      <c r="EM30" s="35"/>
      <c r="EN30" s="35"/>
      <c r="EO30" s="35">
        <v>0.6</v>
      </c>
      <c r="EP30" s="51">
        <v>1</v>
      </c>
      <c r="EQ30" s="51">
        <v>0.1</v>
      </c>
      <c r="ER30" s="51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57"/>
      <c r="IF30" s="50">
        <f t="shared" si="0"/>
        <v>0.5</v>
      </c>
      <c r="IG30" s="50">
        <f t="shared" si="1"/>
        <v>0</v>
      </c>
      <c r="IH30" s="50">
        <f t="shared" si="2"/>
        <v>0</v>
      </c>
      <c r="II30" s="50">
        <f t="shared" si="3"/>
        <v>0</v>
      </c>
      <c r="IJ30" s="50">
        <f t="shared" si="5"/>
        <v>0</v>
      </c>
      <c r="IK30" s="50">
        <f t="shared" si="6"/>
        <v>0.5</v>
      </c>
      <c r="IL30" s="50">
        <f t="shared" si="7"/>
        <v>0</v>
      </c>
      <c r="IM30" s="50">
        <f t="shared" si="8"/>
        <v>0</v>
      </c>
      <c r="IN30" s="47">
        <f t="shared" si="9"/>
        <v>2</v>
      </c>
      <c r="IO30" s="47">
        <f t="shared" si="10"/>
        <v>0</v>
      </c>
      <c r="IP30" s="47">
        <f t="shared" si="11"/>
        <v>0.3</v>
      </c>
      <c r="IQ30" s="47">
        <f t="shared" si="12"/>
        <v>0</v>
      </c>
      <c r="IR30" s="47">
        <f t="shared" si="13"/>
        <v>0</v>
      </c>
      <c r="IS30" s="47">
        <f t="shared" si="14"/>
        <v>0.6</v>
      </c>
      <c r="IT30" s="95">
        <f t="shared" si="15"/>
        <v>1</v>
      </c>
      <c r="IU30" s="95">
        <f t="shared" si="16"/>
        <v>0.1</v>
      </c>
      <c r="IV30" s="36">
        <v>3.7</v>
      </c>
      <c r="IW30" s="52">
        <v>1</v>
      </c>
      <c r="IX30" s="36"/>
      <c r="IY30" s="4"/>
      <c r="IZ30" s="4"/>
    </row>
    <row r="31" spans="1:260" s="5" customFormat="1" ht="15.95" customHeight="1">
      <c r="A31" s="12">
        <v>25</v>
      </c>
      <c r="B31" s="46" t="s">
        <v>93</v>
      </c>
      <c r="C31" s="46" t="s">
        <v>66</v>
      </c>
      <c r="D31" s="46" t="s">
        <v>75</v>
      </c>
      <c r="E31" s="36">
        <v>12.2</v>
      </c>
      <c r="F31" s="36">
        <v>0</v>
      </c>
      <c r="G31" s="34">
        <v>0</v>
      </c>
      <c r="H31" s="59"/>
      <c r="I31" s="59">
        <v>0</v>
      </c>
      <c r="J31" s="59"/>
      <c r="K31" s="59"/>
      <c r="L31" s="59"/>
      <c r="M31" s="59"/>
      <c r="N31" s="59"/>
      <c r="O31" s="36">
        <v>0</v>
      </c>
      <c r="P31" s="36"/>
      <c r="Q31" s="36"/>
      <c r="R31" s="36"/>
      <c r="S31" s="36"/>
      <c r="T31" s="36"/>
      <c r="U31" s="36"/>
      <c r="V31" s="34">
        <v>703</v>
      </c>
      <c r="W31" s="34">
        <v>0</v>
      </c>
      <c r="X31" s="34">
        <v>703</v>
      </c>
      <c r="Y31" s="34"/>
      <c r="Z31" s="34"/>
      <c r="AA31" s="34"/>
      <c r="AB31" s="34"/>
      <c r="AC31" s="34"/>
      <c r="AD31" s="34">
        <v>0</v>
      </c>
      <c r="AE31" s="34"/>
      <c r="AF31" s="34">
        <v>200</v>
      </c>
      <c r="AG31" s="34">
        <v>160</v>
      </c>
      <c r="AH31" s="34"/>
      <c r="AI31" s="34"/>
      <c r="AJ31" s="34">
        <v>343</v>
      </c>
      <c r="AK31" s="34">
        <v>3016</v>
      </c>
      <c r="AL31" s="47">
        <v>416</v>
      </c>
      <c r="AM31" s="47"/>
      <c r="AN31" s="93"/>
      <c r="AO31" s="47"/>
      <c r="AP31" s="47">
        <v>2600</v>
      </c>
      <c r="AQ31" s="96"/>
      <c r="AR31" s="96">
        <v>0</v>
      </c>
      <c r="AS31" s="47">
        <v>416</v>
      </c>
      <c r="AT31" s="47"/>
      <c r="AU31" s="93"/>
      <c r="AV31" s="47"/>
      <c r="AW31" s="47"/>
      <c r="AX31" s="96"/>
      <c r="AY31" s="96">
        <v>2600</v>
      </c>
      <c r="AZ31" s="34">
        <v>195</v>
      </c>
      <c r="BA31" s="34">
        <v>0</v>
      </c>
      <c r="BB31" s="47"/>
      <c r="BC31" s="47"/>
      <c r="BD31" s="47"/>
      <c r="BE31" s="47"/>
      <c r="BF31" s="96">
        <v>120</v>
      </c>
      <c r="BG31" s="96">
        <v>0</v>
      </c>
      <c r="BH31" s="47">
        <v>0</v>
      </c>
      <c r="BI31" s="47"/>
      <c r="BJ31" s="47"/>
      <c r="BK31" s="47"/>
      <c r="BL31" s="47"/>
      <c r="BM31" s="96">
        <v>120</v>
      </c>
      <c r="BN31" s="96">
        <v>0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>
        <v>0.4</v>
      </c>
      <c r="CH31" s="35"/>
      <c r="CI31" s="35"/>
      <c r="CJ31" s="35">
        <v>0.4</v>
      </c>
      <c r="CK31" s="35"/>
      <c r="CL31" s="35">
        <v>0</v>
      </c>
      <c r="CM31" s="51"/>
      <c r="CN31" s="51">
        <v>0</v>
      </c>
      <c r="CO31" s="51"/>
      <c r="CP31" s="51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53"/>
      <c r="EB31" s="53"/>
      <c r="EC31" s="53"/>
      <c r="ED31" s="53"/>
      <c r="EE31" s="53"/>
      <c r="EF31" s="53"/>
      <c r="EG31" s="53"/>
      <c r="EH31" s="53"/>
      <c r="EI31" s="53"/>
      <c r="EJ31" s="35">
        <v>1.8</v>
      </c>
      <c r="EK31" s="35">
        <v>0</v>
      </c>
      <c r="EL31" s="35">
        <v>0.3</v>
      </c>
      <c r="EM31" s="35">
        <v>0.7</v>
      </c>
      <c r="EN31" s="35"/>
      <c r="EO31" s="35"/>
      <c r="EP31" s="51">
        <v>0.8</v>
      </c>
      <c r="EQ31" s="51">
        <v>0</v>
      </c>
      <c r="ER31" s="51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57"/>
      <c r="IF31" s="50">
        <f t="shared" si="0"/>
        <v>0.4</v>
      </c>
      <c r="IG31" s="50">
        <f t="shared" si="1"/>
        <v>0</v>
      </c>
      <c r="IH31" s="50">
        <f t="shared" si="2"/>
        <v>0</v>
      </c>
      <c r="II31" s="50">
        <f t="shared" si="3"/>
        <v>0.4</v>
      </c>
      <c r="IJ31" s="50">
        <f t="shared" si="5"/>
        <v>0</v>
      </c>
      <c r="IK31" s="50">
        <f t="shared" si="6"/>
        <v>0</v>
      </c>
      <c r="IL31" s="50">
        <f t="shared" si="7"/>
        <v>0</v>
      </c>
      <c r="IM31" s="50">
        <f t="shared" si="8"/>
        <v>0</v>
      </c>
      <c r="IN31" s="47">
        <f t="shared" si="9"/>
        <v>1.8</v>
      </c>
      <c r="IO31" s="47">
        <f t="shared" si="10"/>
        <v>0</v>
      </c>
      <c r="IP31" s="47">
        <f t="shared" si="11"/>
        <v>0.3</v>
      </c>
      <c r="IQ31" s="47">
        <f t="shared" si="12"/>
        <v>0.7</v>
      </c>
      <c r="IR31" s="47">
        <f t="shared" si="13"/>
        <v>0</v>
      </c>
      <c r="IS31" s="47">
        <f t="shared" si="14"/>
        <v>0</v>
      </c>
      <c r="IT31" s="95">
        <f t="shared" si="15"/>
        <v>0.8</v>
      </c>
      <c r="IU31" s="95">
        <f t="shared" si="16"/>
        <v>0</v>
      </c>
      <c r="IV31" s="36">
        <v>1.6</v>
      </c>
      <c r="IW31" s="52">
        <v>1</v>
      </c>
      <c r="IX31" s="36"/>
      <c r="IY31" s="4"/>
      <c r="IZ31" s="4"/>
    </row>
    <row r="32" spans="1:260" s="5" customFormat="1" ht="15.95" customHeight="1">
      <c r="A32" s="6">
        <v>26</v>
      </c>
      <c r="B32" s="46" t="s">
        <v>94</v>
      </c>
      <c r="C32" s="46" t="s">
        <v>66</v>
      </c>
      <c r="D32" s="46" t="s">
        <v>75</v>
      </c>
      <c r="E32" s="36">
        <v>5.3</v>
      </c>
      <c r="F32" s="36">
        <v>29</v>
      </c>
      <c r="G32" s="34">
        <v>4264</v>
      </c>
      <c r="H32" s="59"/>
      <c r="I32" s="59">
        <v>3514</v>
      </c>
      <c r="J32" s="59"/>
      <c r="K32" s="59"/>
      <c r="L32" s="59"/>
      <c r="M32" s="59"/>
      <c r="N32" s="59"/>
      <c r="O32" s="36">
        <v>0</v>
      </c>
      <c r="P32" s="36">
        <v>150</v>
      </c>
      <c r="Q32" s="36">
        <v>3364</v>
      </c>
      <c r="R32" s="36"/>
      <c r="S32" s="36"/>
      <c r="T32" s="36"/>
      <c r="U32" s="36"/>
      <c r="V32" s="34">
        <v>1055</v>
      </c>
      <c r="W32" s="34">
        <v>0</v>
      </c>
      <c r="X32" s="34"/>
      <c r="Y32" s="34"/>
      <c r="Z32" s="34"/>
      <c r="AA32" s="34"/>
      <c r="AB32" s="34"/>
      <c r="AC32" s="34"/>
      <c r="AD32" s="34">
        <v>0</v>
      </c>
      <c r="AE32" s="34"/>
      <c r="AF32" s="34"/>
      <c r="AG32" s="34"/>
      <c r="AH32" s="34"/>
      <c r="AI32" s="34"/>
      <c r="AJ32" s="34"/>
      <c r="AK32" s="34">
        <v>2055</v>
      </c>
      <c r="AL32" s="47">
        <v>654</v>
      </c>
      <c r="AM32" s="47"/>
      <c r="AN32" s="93"/>
      <c r="AO32" s="47"/>
      <c r="AP32" s="47"/>
      <c r="AQ32" s="96">
        <v>1401</v>
      </c>
      <c r="AR32" s="96">
        <v>0</v>
      </c>
      <c r="AS32" s="47">
        <v>500</v>
      </c>
      <c r="AT32" s="47"/>
      <c r="AU32" s="93">
        <v>154</v>
      </c>
      <c r="AV32" s="47"/>
      <c r="AW32" s="47"/>
      <c r="AX32" s="96"/>
      <c r="AY32" s="96">
        <v>1401</v>
      </c>
      <c r="AZ32" s="34">
        <v>0</v>
      </c>
      <c r="BA32" s="34">
        <v>0</v>
      </c>
      <c r="BB32" s="47"/>
      <c r="BC32" s="47"/>
      <c r="BD32" s="47"/>
      <c r="BE32" s="47"/>
      <c r="BF32" s="96">
        <v>0</v>
      </c>
      <c r="BG32" s="96">
        <v>0</v>
      </c>
      <c r="BH32" s="47">
        <v>0</v>
      </c>
      <c r="BI32" s="47"/>
      <c r="BJ32" s="47"/>
      <c r="BK32" s="47"/>
      <c r="BL32" s="47"/>
      <c r="BM32" s="96"/>
      <c r="BN32" s="96">
        <v>0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>
        <v>0.5</v>
      </c>
      <c r="CH32" s="35"/>
      <c r="CI32" s="35"/>
      <c r="CJ32" s="35">
        <v>0.5</v>
      </c>
      <c r="CK32" s="35"/>
      <c r="CL32" s="35">
        <v>0</v>
      </c>
      <c r="CM32" s="51"/>
      <c r="CN32" s="51">
        <v>0</v>
      </c>
      <c r="CO32" s="51"/>
      <c r="CP32" s="51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53"/>
      <c r="EB32" s="53"/>
      <c r="EC32" s="53"/>
      <c r="ED32" s="53"/>
      <c r="EE32" s="53"/>
      <c r="EF32" s="53"/>
      <c r="EG32" s="53"/>
      <c r="EH32" s="53"/>
      <c r="EI32" s="53"/>
      <c r="EJ32" s="35">
        <v>1.4</v>
      </c>
      <c r="EK32" s="35">
        <v>0.3</v>
      </c>
      <c r="EL32" s="35">
        <v>1</v>
      </c>
      <c r="EM32" s="35"/>
      <c r="EN32" s="35"/>
      <c r="EO32" s="35"/>
      <c r="EP32" s="51"/>
      <c r="EQ32" s="51">
        <v>0.1</v>
      </c>
      <c r="ER32" s="51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57"/>
      <c r="IF32" s="50">
        <f t="shared" si="0"/>
        <v>0.5</v>
      </c>
      <c r="IG32" s="50">
        <f t="shared" si="1"/>
        <v>0</v>
      </c>
      <c r="IH32" s="50">
        <f t="shared" si="2"/>
        <v>0</v>
      </c>
      <c r="II32" s="50">
        <f t="shared" si="3"/>
        <v>0.5</v>
      </c>
      <c r="IJ32" s="50">
        <f t="shared" si="5"/>
        <v>0</v>
      </c>
      <c r="IK32" s="50">
        <f t="shared" si="6"/>
        <v>0</v>
      </c>
      <c r="IL32" s="50">
        <f t="shared" si="7"/>
        <v>0</v>
      </c>
      <c r="IM32" s="50">
        <f t="shared" si="8"/>
        <v>0</v>
      </c>
      <c r="IN32" s="47">
        <f t="shared" si="9"/>
        <v>1.4</v>
      </c>
      <c r="IO32" s="47">
        <f t="shared" si="10"/>
        <v>0.3</v>
      </c>
      <c r="IP32" s="47">
        <f t="shared" si="11"/>
        <v>1</v>
      </c>
      <c r="IQ32" s="47">
        <f t="shared" si="12"/>
        <v>0</v>
      </c>
      <c r="IR32" s="47">
        <f t="shared" si="13"/>
        <v>0</v>
      </c>
      <c r="IS32" s="47">
        <f t="shared" si="14"/>
        <v>0</v>
      </c>
      <c r="IT32" s="95">
        <f t="shared" si="15"/>
        <v>0</v>
      </c>
      <c r="IU32" s="95">
        <f t="shared" si="16"/>
        <v>0.1</v>
      </c>
      <c r="IV32" s="36">
        <v>0</v>
      </c>
      <c r="IW32" s="52">
        <v>1</v>
      </c>
      <c r="IX32" s="36"/>
      <c r="IY32" s="4"/>
      <c r="IZ32" s="4"/>
    </row>
    <row r="33" spans="1:260" s="5" customFormat="1" ht="15.95" customHeight="1">
      <c r="A33" s="6">
        <v>27</v>
      </c>
      <c r="B33" s="46" t="s">
        <v>95</v>
      </c>
      <c r="C33" s="46" t="s">
        <v>66</v>
      </c>
      <c r="D33" s="46" t="s">
        <v>75</v>
      </c>
      <c r="E33" s="36">
        <v>9.4</v>
      </c>
      <c r="F33" s="36">
        <v>4.2</v>
      </c>
      <c r="G33" s="34">
        <f>250+225</f>
        <v>475</v>
      </c>
      <c r="H33" s="59"/>
      <c r="I33" s="59">
        <v>250</v>
      </c>
      <c r="J33" s="59"/>
      <c r="K33" s="59"/>
      <c r="L33" s="59"/>
      <c r="M33" s="59"/>
      <c r="N33" s="59"/>
      <c r="O33" s="36">
        <v>250</v>
      </c>
      <c r="P33" s="36"/>
      <c r="Q33" s="36"/>
      <c r="R33" s="36"/>
      <c r="S33" s="36"/>
      <c r="T33" s="36"/>
      <c r="U33" s="36"/>
      <c r="V33" s="34">
        <v>0</v>
      </c>
      <c r="W33" s="34">
        <v>0</v>
      </c>
      <c r="X33" s="34"/>
      <c r="Y33" s="34"/>
      <c r="Z33" s="34"/>
      <c r="AA33" s="34"/>
      <c r="AB33" s="34"/>
      <c r="AC33" s="34"/>
      <c r="AD33" s="34">
        <v>0</v>
      </c>
      <c r="AE33" s="34"/>
      <c r="AF33" s="34"/>
      <c r="AG33" s="34"/>
      <c r="AH33" s="34"/>
      <c r="AI33" s="34"/>
      <c r="AJ33" s="34"/>
      <c r="AK33" s="34">
        <v>904</v>
      </c>
      <c r="AL33" s="47">
        <v>354</v>
      </c>
      <c r="AM33" s="47"/>
      <c r="AN33" s="93"/>
      <c r="AO33" s="47"/>
      <c r="AP33" s="47"/>
      <c r="AQ33" s="96"/>
      <c r="AR33" s="96">
        <v>550</v>
      </c>
      <c r="AS33" s="47">
        <v>354</v>
      </c>
      <c r="AT33" s="47"/>
      <c r="AU33" s="93"/>
      <c r="AV33" s="47"/>
      <c r="AW33" s="47"/>
      <c r="AX33" s="96"/>
      <c r="AY33" s="96">
        <v>550</v>
      </c>
      <c r="AZ33" s="34">
        <v>125</v>
      </c>
      <c r="BA33" s="34">
        <v>100</v>
      </c>
      <c r="BB33" s="47"/>
      <c r="BC33" s="47"/>
      <c r="BD33" s="47"/>
      <c r="BE33" s="47"/>
      <c r="BF33" s="96">
        <v>20</v>
      </c>
      <c r="BG33" s="96">
        <v>0</v>
      </c>
      <c r="BH33" s="47">
        <v>100</v>
      </c>
      <c r="BI33" s="47"/>
      <c r="BJ33" s="47"/>
      <c r="BK33" s="47"/>
      <c r="BL33" s="47"/>
      <c r="BM33" s="96">
        <v>20</v>
      </c>
      <c r="BN33" s="96">
        <v>0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>
        <v>1</v>
      </c>
      <c r="CH33" s="35">
        <v>1</v>
      </c>
      <c r="CI33" s="35"/>
      <c r="CJ33" s="35"/>
      <c r="CK33" s="35"/>
      <c r="CL33" s="35">
        <v>0</v>
      </c>
      <c r="CM33" s="51"/>
      <c r="CN33" s="51">
        <v>0</v>
      </c>
      <c r="CO33" s="51"/>
      <c r="CP33" s="51"/>
      <c r="CQ33" s="35">
        <v>3.7</v>
      </c>
      <c r="CR33" s="35">
        <v>0</v>
      </c>
      <c r="CS33" s="35"/>
      <c r="CT33" s="35"/>
      <c r="CU33" s="35"/>
      <c r="CV33" s="35"/>
      <c r="CW33" s="35">
        <v>2</v>
      </c>
      <c r="CX33" s="35">
        <v>1.7</v>
      </c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53"/>
      <c r="EB33" s="53"/>
      <c r="EC33" s="53"/>
      <c r="ED33" s="53"/>
      <c r="EE33" s="53"/>
      <c r="EF33" s="53"/>
      <c r="EG33" s="53"/>
      <c r="EH33" s="53"/>
      <c r="EI33" s="53"/>
      <c r="EJ33" s="35">
        <v>1</v>
      </c>
      <c r="EK33" s="35">
        <v>0</v>
      </c>
      <c r="EL33" s="35">
        <v>1</v>
      </c>
      <c r="EM33" s="35"/>
      <c r="EN33" s="35"/>
      <c r="EO33" s="35"/>
      <c r="EP33" s="51"/>
      <c r="EQ33" s="51">
        <v>0</v>
      </c>
      <c r="ER33" s="51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6"/>
      <c r="FM33" s="36"/>
      <c r="FN33" s="36"/>
      <c r="FO33" s="36"/>
      <c r="FP33" s="36"/>
      <c r="FQ33" s="36"/>
      <c r="FR33" s="36"/>
      <c r="FS33" s="36"/>
      <c r="FT33" s="36">
        <v>1</v>
      </c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57"/>
      <c r="IF33" s="50">
        <f t="shared" si="0"/>
        <v>1</v>
      </c>
      <c r="IG33" s="50">
        <f t="shared" si="1"/>
        <v>1</v>
      </c>
      <c r="IH33" s="50">
        <f t="shared" si="2"/>
        <v>0</v>
      </c>
      <c r="II33" s="50">
        <f t="shared" si="3"/>
        <v>0</v>
      </c>
      <c r="IJ33" s="50">
        <f t="shared" si="5"/>
        <v>0</v>
      </c>
      <c r="IK33" s="50">
        <f t="shared" si="6"/>
        <v>0</v>
      </c>
      <c r="IL33" s="50">
        <f t="shared" si="7"/>
        <v>0</v>
      </c>
      <c r="IM33" s="50">
        <f t="shared" si="8"/>
        <v>0</v>
      </c>
      <c r="IN33" s="47">
        <f t="shared" si="9"/>
        <v>4.7</v>
      </c>
      <c r="IO33" s="47">
        <f t="shared" si="10"/>
        <v>0</v>
      </c>
      <c r="IP33" s="47">
        <f t="shared" si="11"/>
        <v>1</v>
      </c>
      <c r="IQ33" s="47">
        <f t="shared" si="12"/>
        <v>0</v>
      </c>
      <c r="IR33" s="47">
        <f t="shared" si="13"/>
        <v>0</v>
      </c>
      <c r="IS33" s="47">
        <f t="shared" si="14"/>
        <v>0</v>
      </c>
      <c r="IT33" s="95">
        <f t="shared" si="15"/>
        <v>2</v>
      </c>
      <c r="IU33" s="95">
        <f t="shared" si="16"/>
        <v>1.7</v>
      </c>
      <c r="IV33" s="36">
        <v>1.5</v>
      </c>
      <c r="IW33" s="52">
        <v>1</v>
      </c>
      <c r="IX33" s="36"/>
      <c r="IY33" s="4"/>
      <c r="IZ33" s="4"/>
    </row>
    <row r="34" spans="1:260" s="5" customFormat="1" ht="15.95" customHeight="1">
      <c r="A34" s="6">
        <v>28</v>
      </c>
      <c r="B34" s="46" t="s">
        <v>96</v>
      </c>
      <c r="C34" s="46" t="s">
        <v>66</v>
      </c>
      <c r="D34" s="46" t="s">
        <v>75</v>
      </c>
      <c r="E34" s="36">
        <v>8</v>
      </c>
      <c r="F34" s="36">
        <v>8.4</v>
      </c>
      <c r="G34" s="34">
        <f>500+250</f>
        <v>750</v>
      </c>
      <c r="H34" s="59"/>
      <c r="I34" s="59">
        <v>500</v>
      </c>
      <c r="J34" s="59"/>
      <c r="K34" s="59"/>
      <c r="L34" s="59"/>
      <c r="M34" s="59"/>
      <c r="N34" s="59"/>
      <c r="O34" s="36"/>
      <c r="P34" s="36">
        <v>500</v>
      </c>
      <c r="Q34" s="36"/>
      <c r="R34" s="36"/>
      <c r="S34" s="36"/>
      <c r="T34" s="36"/>
      <c r="U34" s="36"/>
      <c r="V34" s="34">
        <v>0</v>
      </c>
      <c r="W34" s="34">
        <v>0</v>
      </c>
      <c r="X34" s="34"/>
      <c r="Y34" s="34"/>
      <c r="Z34" s="34"/>
      <c r="AA34" s="34"/>
      <c r="AB34" s="34"/>
      <c r="AC34" s="34"/>
      <c r="AD34" s="34">
        <v>0</v>
      </c>
      <c r="AE34" s="34"/>
      <c r="AF34" s="34"/>
      <c r="AG34" s="34"/>
      <c r="AH34" s="34"/>
      <c r="AI34" s="34"/>
      <c r="AJ34" s="34"/>
      <c r="AK34" s="34">
        <v>1083</v>
      </c>
      <c r="AL34" s="47">
        <v>733</v>
      </c>
      <c r="AM34" s="47"/>
      <c r="AN34" s="93"/>
      <c r="AO34" s="47"/>
      <c r="AP34" s="47"/>
      <c r="AQ34" s="96"/>
      <c r="AR34" s="96">
        <v>350</v>
      </c>
      <c r="AS34" s="47">
        <v>0</v>
      </c>
      <c r="AT34" s="47">
        <v>570</v>
      </c>
      <c r="AU34" s="93">
        <v>163</v>
      </c>
      <c r="AV34" s="47"/>
      <c r="AW34" s="47"/>
      <c r="AX34" s="96"/>
      <c r="AY34" s="96">
        <v>350</v>
      </c>
      <c r="AZ34" s="34">
        <v>0</v>
      </c>
      <c r="BA34" s="34">
        <v>195</v>
      </c>
      <c r="BB34" s="47"/>
      <c r="BC34" s="47"/>
      <c r="BD34" s="47"/>
      <c r="BE34" s="47"/>
      <c r="BF34" s="96"/>
      <c r="BG34" s="96">
        <v>0</v>
      </c>
      <c r="BH34" s="47">
        <v>0</v>
      </c>
      <c r="BI34" s="47"/>
      <c r="BJ34" s="47"/>
      <c r="BK34" s="47"/>
      <c r="BL34" s="47"/>
      <c r="BM34" s="96">
        <v>95</v>
      </c>
      <c r="BN34" s="96">
        <v>100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>
        <v>0.2</v>
      </c>
      <c r="CH34" s="35">
        <v>0</v>
      </c>
      <c r="CI34" s="35"/>
      <c r="CJ34" s="35">
        <v>0.2</v>
      </c>
      <c r="CK34" s="35"/>
      <c r="CL34" s="35">
        <v>0</v>
      </c>
      <c r="CM34" s="51"/>
      <c r="CN34" s="51">
        <v>0</v>
      </c>
      <c r="CO34" s="51"/>
      <c r="CP34" s="51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53"/>
      <c r="EB34" s="53"/>
      <c r="EC34" s="53"/>
      <c r="ED34" s="53"/>
      <c r="EE34" s="53"/>
      <c r="EF34" s="53"/>
      <c r="EG34" s="53"/>
      <c r="EH34" s="53"/>
      <c r="EI34" s="53"/>
      <c r="EJ34" s="35">
        <v>2</v>
      </c>
      <c r="EK34" s="35">
        <v>0</v>
      </c>
      <c r="EL34" s="35">
        <v>1</v>
      </c>
      <c r="EM34" s="35"/>
      <c r="EN34" s="35"/>
      <c r="EO34" s="35"/>
      <c r="EP34" s="51"/>
      <c r="EQ34" s="51">
        <v>1</v>
      </c>
      <c r="ER34" s="51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57"/>
      <c r="IF34" s="50">
        <f t="shared" si="0"/>
        <v>0.2</v>
      </c>
      <c r="IG34" s="50">
        <f t="shared" si="1"/>
        <v>0</v>
      </c>
      <c r="IH34" s="50">
        <f t="shared" si="2"/>
        <v>0</v>
      </c>
      <c r="II34" s="50">
        <f t="shared" si="3"/>
        <v>0.2</v>
      </c>
      <c r="IJ34" s="50">
        <f t="shared" si="5"/>
        <v>0</v>
      </c>
      <c r="IK34" s="50">
        <f t="shared" si="6"/>
        <v>0</v>
      </c>
      <c r="IL34" s="50">
        <f t="shared" si="7"/>
        <v>0</v>
      </c>
      <c r="IM34" s="50">
        <f t="shared" si="8"/>
        <v>0</v>
      </c>
      <c r="IN34" s="47">
        <f t="shared" si="9"/>
        <v>2</v>
      </c>
      <c r="IO34" s="47">
        <f t="shared" si="10"/>
        <v>0</v>
      </c>
      <c r="IP34" s="47">
        <f t="shared" si="11"/>
        <v>1</v>
      </c>
      <c r="IQ34" s="47">
        <f t="shared" si="12"/>
        <v>0</v>
      </c>
      <c r="IR34" s="47">
        <f t="shared" si="13"/>
        <v>0</v>
      </c>
      <c r="IS34" s="47">
        <f t="shared" si="14"/>
        <v>0</v>
      </c>
      <c r="IT34" s="95">
        <f t="shared" si="15"/>
        <v>0</v>
      </c>
      <c r="IU34" s="95">
        <f t="shared" si="16"/>
        <v>1</v>
      </c>
      <c r="IV34" s="36">
        <v>1.3</v>
      </c>
      <c r="IW34" s="52">
        <v>1</v>
      </c>
      <c r="IX34" s="36"/>
      <c r="IY34" s="4"/>
      <c r="IZ34" s="4"/>
    </row>
    <row r="35" spans="1:260" s="5" customFormat="1" ht="15.95" customHeight="1">
      <c r="A35" s="12">
        <v>29</v>
      </c>
      <c r="B35" s="46" t="s">
        <v>97</v>
      </c>
      <c r="C35" s="46" t="s">
        <v>66</v>
      </c>
      <c r="D35" s="46" t="s">
        <v>75</v>
      </c>
      <c r="E35" s="36">
        <v>12.6</v>
      </c>
      <c r="F35" s="36">
        <v>0</v>
      </c>
      <c r="G35" s="34">
        <v>325</v>
      </c>
      <c r="H35" s="59"/>
      <c r="I35" s="59">
        <v>0</v>
      </c>
      <c r="J35" s="59"/>
      <c r="K35" s="59"/>
      <c r="L35" s="59"/>
      <c r="M35" s="59"/>
      <c r="N35" s="59"/>
      <c r="O35" s="36">
        <v>0</v>
      </c>
      <c r="P35" s="36"/>
      <c r="Q35" s="36"/>
      <c r="R35" s="36"/>
      <c r="S35" s="36"/>
      <c r="T35" s="36"/>
      <c r="U35" s="36"/>
      <c r="V35" s="34">
        <v>703</v>
      </c>
      <c r="W35" s="34">
        <v>703</v>
      </c>
      <c r="X35" s="34"/>
      <c r="Y35" s="34"/>
      <c r="Z35" s="34"/>
      <c r="AA35" s="34"/>
      <c r="AB35" s="34"/>
      <c r="AC35" s="34"/>
      <c r="AD35" s="34">
        <v>0</v>
      </c>
      <c r="AE35" s="34">
        <v>500</v>
      </c>
      <c r="AF35" s="34">
        <v>203</v>
      </c>
      <c r="AG35" s="34"/>
      <c r="AH35" s="34"/>
      <c r="AI35" s="34"/>
      <c r="AJ35" s="34"/>
      <c r="AK35" s="34">
        <v>2872</v>
      </c>
      <c r="AL35" s="47">
        <v>1894</v>
      </c>
      <c r="AM35" s="47"/>
      <c r="AN35" s="93">
        <v>192</v>
      </c>
      <c r="AO35" s="47"/>
      <c r="AP35" s="47"/>
      <c r="AQ35" s="96">
        <v>786</v>
      </c>
      <c r="AR35" s="96">
        <v>0</v>
      </c>
      <c r="AS35" s="47">
        <v>1894</v>
      </c>
      <c r="AT35" s="47"/>
      <c r="AU35" s="93"/>
      <c r="AV35" s="47"/>
      <c r="AW35" s="47"/>
      <c r="AX35" s="96"/>
      <c r="AY35" s="96">
        <v>978</v>
      </c>
      <c r="AZ35" s="34">
        <v>16</v>
      </c>
      <c r="BA35" s="34">
        <v>16</v>
      </c>
      <c r="BB35" s="47"/>
      <c r="BC35" s="47"/>
      <c r="BD35" s="47"/>
      <c r="BE35" s="47"/>
      <c r="BF35" s="96">
        <v>50</v>
      </c>
      <c r="BG35" s="96">
        <v>0</v>
      </c>
      <c r="BH35" s="47">
        <v>16</v>
      </c>
      <c r="BI35" s="47"/>
      <c r="BJ35" s="47"/>
      <c r="BK35" s="47"/>
      <c r="BL35" s="47"/>
      <c r="BM35" s="96">
        <v>50</v>
      </c>
      <c r="BN35" s="96">
        <v>0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>
        <v>1.5</v>
      </c>
      <c r="CH35" s="35">
        <v>1.5</v>
      </c>
      <c r="CI35" s="35"/>
      <c r="CJ35" s="35">
        <v>1.5</v>
      </c>
      <c r="CK35" s="35"/>
      <c r="CL35" s="35">
        <v>0</v>
      </c>
      <c r="CM35" s="51"/>
      <c r="CN35" s="51">
        <v>0</v>
      </c>
      <c r="CO35" s="51"/>
      <c r="CP35" s="51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53"/>
      <c r="EB35" s="53"/>
      <c r="EC35" s="53"/>
      <c r="ED35" s="53"/>
      <c r="EE35" s="53"/>
      <c r="EF35" s="53"/>
      <c r="EG35" s="53"/>
      <c r="EH35" s="53"/>
      <c r="EI35" s="53"/>
      <c r="EJ35" s="35">
        <v>2</v>
      </c>
      <c r="EK35" s="35">
        <v>1</v>
      </c>
      <c r="EL35" s="35">
        <v>1</v>
      </c>
      <c r="EM35" s="35"/>
      <c r="EN35" s="35"/>
      <c r="EO35" s="35"/>
      <c r="EP35" s="51">
        <v>0.5</v>
      </c>
      <c r="EQ35" s="51">
        <v>0</v>
      </c>
      <c r="ER35" s="51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57"/>
      <c r="IF35" s="50">
        <f t="shared" si="0"/>
        <v>1.5</v>
      </c>
      <c r="IG35" s="50">
        <f t="shared" si="1"/>
        <v>1.5</v>
      </c>
      <c r="IH35" s="50">
        <f t="shared" si="2"/>
        <v>0</v>
      </c>
      <c r="II35" s="50">
        <f t="shared" si="3"/>
        <v>1.5</v>
      </c>
      <c r="IJ35" s="50">
        <f t="shared" si="5"/>
        <v>0</v>
      </c>
      <c r="IK35" s="50">
        <f t="shared" si="6"/>
        <v>0</v>
      </c>
      <c r="IL35" s="50">
        <f t="shared" si="7"/>
        <v>0</v>
      </c>
      <c r="IM35" s="50">
        <f t="shared" si="8"/>
        <v>0</v>
      </c>
      <c r="IN35" s="47">
        <f t="shared" si="9"/>
        <v>2</v>
      </c>
      <c r="IO35" s="47">
        <f t="shared" si="10"/>
        <v>1</v>
      </c>
      <c r="IP35" s="47">
        <f t="shared" si="11"/>
        <v>1</v>
      </c>
      <c r="IQ35" s="47">
        <f t="shared" si="12"/>
        <v>0</v>
      </c>
      <c r="IR35" s="47">
        <f t="shared" si="13"/>
        <v>0</v>
      </c>
      <c r="IS35" s="47">
        <f t="shared" si="14"/>
        <v>0</v>
      </c>
      <c r="IT35" s="95">
        <f t="shared" si="15"/>
        <v>0.5</v>
      </c>
      <c r="IU35" s="95">
        <f t="shared" si="16"/>
        <v>0</v>
      </c>
      <c r="IV35" s="36">
        <v>0</v>
      </c>
      <c r="IW35" s="52">
        <v>1</v>
      </c>
      <c r="IX35" s="36"/>
      <c r="IY35" s="4"/>
      <c r="IZ35" s="4"/>
    </row>
    <row r="36" spans="1:260" s="5" customFormat="1" ht="15.95" customHeight="1">
      <c r="A36" s="6">
        <v>30</v>
      </c>
      <c r="B36" s="46" t="s">
        <v>98</v>
      </c>
      <c r="C36" s="46" t="s">
        <v>66</v>
      </c>
      <c r="D36" s="46" t="s">
        <v>75</v>
      </c>
      <c r="E36" s="36">
        <v>13.3</v>
      </c>
      <c r="F36" s="36">
        <v>0</v>
      </c>
      <c r="G36" s="34">
        <v>361</v>
      </c>
      <c r="H36" s="59"/>
      <c r="I36" s="59">
        <v>0</v>
      </c>
      <c r="J36" s="59">
        <v>111</v>
      </c>
      <c r="K36" s="59"/>
      <c r="L36" s="59"/>
      <c r="M36" s="59"/>
      <c r="N36" s="59"/>
      <c r="O36" s="36">
        <v>0</v>
      </c>
      <c r="P36" s="36"/>
      <c r="Q36" s="36">
        <v>111</v>
      </c>
      <c r="R36" s="36"/>
      <c r="S36" s="36"/>
      <c r="T36" s="36"/>
      <c r="U36" s="36"/>
      <c r="V36" s="34">
        <v>0</v>
      </c>
      <c r="W36" s="34">
        <v>0</v>
      </c>
      <c r="X36" s="34"/>
      <c r="Y36" s="34"/>
      <c r="Z36" s="34"/>
      <c r="AA36" s="34"/>
      <c r="AB36" s="34"/>
      <c r="AC36" s="34"/>
      <c r="AD36" s="34">
        <v>0</v>
      </c>
      <c r="AE36" s="34"/>
      <c r="AF36" s="34"/>
      <c r="AG36" s="34"/>
      <c r="AH36" s="34"/>
      <c r="AI36" s="34"/>
      <c r="AJ36" s="34"/>
      <c r="AK36" s="34">
        <v>511</v>
      </c>
      <c r="AL36" s="47">
        <v>0</v>
      </c>
      <c r="AM36" s="47"/>
      <c r="AN36" s="93">
        <v>15</v>
      </c>
      <c r="AO36" s="47"/>
      <c r="AP36" s="47">
        <v>61</v>
      </c>
      <c r="AQ36" s="96"/>
      <c r="AR36" s="96">
        <v>435</v>
      </c>
      <c r="AS36" s="47">
        <v>0</v>
      </c>
      <c r="AT36" s="47"/>
      <c r="AU36" s="93"/>
      <c r="AV36" s="47"/>
      <c r="AW36" s="47">
        <v>61</v>
      </c>
      <c r="AX36" s="96"/>
      <c r="AY36" s="96">
        <v>450</v>
      </c>
      <c r="AZ36" s="34">
        <v>173</v>
      </c>
      <c r="BA36" s="34">
        <v>103</v>
      </c>
      <c r="BB36" s="47"/>
      <c r="BC36" s="47"/>
      <c r="BD36" s="47"/>
      <c r="BE36" s="47"/>
      <c r="BF36" s="96">
        <v>105</v>
      </c>
      <c r="BG36" s="96">
        <v>0</v>
      </c>
      <c r="BH36" s="47">
        <v>103</v>
      </c>
      <c r="BI36" s="47"/>
      <c r="BJ36" s="47"/>
      <c r="BK36" s="47"/>
      <c r="BL36" s="47"/>
      <c r="BM36" s="96">
        <v>105</v>
      </c>
      <c r="BN36" s="96">
        <v>0</v>
      </c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>
        <v>1</v>
      </c>
      <c r="CH36" s="35"/>
      <c r="CI36" s="35"/>
      <c r="CJ36" s="35"/>
      <c r="CK36" s="35"/>
      <c r="CL36" s="35">
        <v>0.5</v>
      </c>
      <c r="CM36" s="51">
        <v>0.5</v>
      </c>
      <c r="CN36" s="51">
        <v>0</v>
      </c>
      <c r="CO36" s="51"/>
      <c r="CP36" s="51"/>
      <c r="CQ36" s="35">
        <v>5</v>
      </c>
      <c r="CR36" s="35">
        <v>0</v>
      </c>
      <c r="CS36" s="35"/>
      <c r="CT36" s="35"/>
      <c r="CU36" s="35">
        <v>0</v>
      </c>
      <c r="CV36" s="35">
        <v>0</v>
      </c>
      <c r="CW36" s="35">
        <v>2.5</v>
      </c>
      <c r="CX36" s="35">
        <v>2.5</v>
      </c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53"/>
      <c r="EB36" s="53"/>
      <c r="EC36" s="53"/>
      <c r="ED36" s="53"/>
      <c r="EE36" s="53"/>
      <c r="EF36" s="53"/>
      <c r="EG36" s="53"/>
      <c r="EH36" s="53"/>
      <c r="EI36" s="53"/>
      <c r="EJ36" s="35">
        <v>3.5</v>
      </c>
      <c r="EK36" s="35">
        <v>0.3</v>
      </c>
      <c r="EL36" s="35">
        <v>0.7</v>
      </c>
      <c r="EM36" s="35"/>
      <c r="EN36" s="35"/>
      <c r="EO36" s="35"/>
      <c r="EP36" s="51">
        <v>1</v>
      </c>
      <c r="EQ36" s="51">
        <v>1.5</v>
      </c>
      <c r="ER36" s="51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6"/>
      <c r="FM36" s="36"/>
      <c r="FN36" s="36"/>
      <c r="FO36" s="36"/>
      <c r="FP36" s="36"/>
      <c r="FQ36" s="36"/>
      <c r="FR36" s="36"/>
      <c r="FS36" s="36"/>
      <c r="FT36" s="36">
        <v>2</v>
      </c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57"/>
      <c r="IF36" s="50">
        <f t="shared" si="0"/>
        <v>1</v>
      </c>
      <c r="IG36" s="50">
        <f t="shared" si="1"/>
        <v>0</v>
      </c>
      <c r="IH36" s="50">
        <f t="shared" si="2"/>
        <v>0</v>
      </c>
      <c r="II36" s="50">
        <f t="shared" si="3"/>
        <v>0</v>
      </c>
      <c r="IJ36" s="50">
        <f t="shared" si="5"/>
        <v>0</v>
      </c>
      <c r="IK36" s="50">
        <f t="shared" si="6"/>
        <v>0.5</v>
      </c>
      <c r="IL36" s="50">
        <f t="shared" si="7"/>
        <v>0.5</v>
      </c>
      <c r="IM36" s="50">
        <f t="shared" si="8"/>
        <v>0</v>
      </c>
      <c r="IN36" s="47">
        <f t="shared" si="9"/>
        <v>8.5</v>
      </c>
      <c r="IO36" s="47">
        <f t="shared" si="10"/>
        <v>0.3</v>
      </c>
      <c r="IP36" s="47">
        <f t="shared" si="11"/>
        <v>0.7</v>
      </c>
      <c r="IQ36" s="47">
        <f t="shared" si="12"/>
        <v>0</v>
      </c>
      <c r="IR36" s="47">
        <f t="shared" si="13"/>
        <v>0</v>
      </c>
      <c r="IS36" s="47">
        <f t="shared" si="14"/>
        <v>0</v>
      </c>
      <c r="IT36" s="95">
        <f t="shared" si="15"/>
        <v>3.5</v>
      </c>
      <c r="IU36" s="95">
        <f t="shared" si="16"/>
        <v>4</v>
      </c>
      <c r="IV36" s="36">
        <v>0</v>
      </c>
      <c r="IW36" s="52">
        <v>1</v>
      </c>
      <c r="IX36" s="36"/>
      <c r="IY36" s="4"/>
      <c r="IZ36" s="4"/>
    </row>
    <row r="37" spans="1:260" s="5" customFormat="1" ht="15.95" customHeight="1">
      <c r="A37" s="6">
        <v>31</v>
      </c>
      <c r="B37" s="46" t="s">
        <v>99</v>
      </c>
      <c r="C37" s="46" t="s">
        <v>66</v>
      </c>
      <c r="D37" s="46" t="s">
        <v>75</v>
      </c>
      <c r="E37" s="36">
        <v>8.3000000000000007</v>
      </c>
      <c r="F37" s="36">
        <v>0</v>
      </c>
      <c r="G37" s="34">
        <v>300</v>
      </c>
      <c r="H37" s="59"/>
      <c r="I37" s="59">
        <v>0</v>
      </c>
      <c r="J37" s="59"/>
      <c r="K37" s="59"/>
      <c r="L37" s="59"/>
      <c r="M37" s="59"/>
      <c r="N37" s="59"/>
      <c r="O37" s="36">
        <v>0</v>
      </c>
      <c r="P37" s="36"/>
      <c r="Q37" s="36"/>
      <c r="R37" s="36"/>
      <c r="S37" s="36"/>
      <c r="T37" s="36"/>
      <c r="U37" s="36"/>
      <c r="V37" s="34">
        <v>703</v>
      </c>
      <c r="W37" s="34">
        <v>0</v>
      </c>
      <c r="X37" s="34"/>
      <c r="Y37" s="34">
        <v>703</v>
      </c>
      <c r="Z37" s="34"/>
      <c r="AA37" s="34"/>
      <c r="AB37" s="34"/>
      <c r="AC37" s="34"/>
      <c r="AD37" s="34">
        <v>0</v>
      </c>
      <c r="AE37" s="34"/>
      <c r="AF37" s="34"/>
      <c r="AG37" s="34"/>
      <c r="AH37" s="34"/>
      <c r="AI37" s="34"/>
      <c r="AJ37" s="34">
        <v>703</v>
      </c>
      <c r="AK37" s="34">
        <v>2624</v>
      </c>
      <c r="AL37" s="47">
        <v>1244</v>
      </c>
      <c r="AM37" s="47"/>
      <c r="AN37" s="93"/>
      <c r="AO37" s="47"/>
      <c r="AP37" s="47"/>
      <c r="AQ37" s="96">
        <v>131</v>
      </c>
      <c r="AR37" s="96">
        <v>1249</v>
      </c>
      <c r="AS37" s="47">
        <v>0</v>
      </c>
      <c r="AT37" s="47"/>
      <c r="AU37" s="93">
        <v>1244</v>
      </c>
      <c r="AV37" s="47"/>
      <c r="AW37" s="47"/>
      <c r="AX37" s="96"/>
      <c r="AY37" s="96">
        <v>1380</v>
      </c>
      <c r="AZ37" s="34">
        <v>176</v>
      </c>
      <c r="BA37" s="34">
        <v>0</v>
      </c>
      <c r="BB37" s="47"/>
      <c r="BC37" s="47"/>
      <c r="BD37" s="47"/>
      <c r="BE37" s="47"/>
      <c r="BF37" s="96"/>
      <c r="BG37" s="96">
        <v>100</v>
      </c>
      <c r="BH37" s="47">
        <v>0</v>
      </c>
      <c r="BI37" s="47"/>
      <c r="BJ37" s="47"/>
      <c r="BK37" s="47"/>
      <c r="BL37" s="47"/>
      <c r="BM37" s="96"/>
      <c r="BN37" s="96">
        <v>100</v>
      </c>
      <c r="BO37" s="35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5">
        <v>0.2</v>
      </c>
      <c r="CH37" s="35"/>
      <c r="CI37" s="35"/>
      <c r="CJ37" s="35">
        <v>0.2</v>
      </c>
      <c r="CK37" s="35"/>
      <c r="CL37" s="35">
        <v>0</v>
      </c>
      <c r="CM37" s="51"/>
      <c r="CN37" s="51">
        <v>0</v>
      </c>
      <c r="CO37" s="51"/>
      <c r="CP37" s="51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53"/>
      <c r="EB37" s="53"/>
      <c r="EC37" s="53"/>
      <c r="ED37" s="53"/>
      <c r="EE37" s="53"/>
      <c r="EF37" s="53"/>
      <c r="EG37" s="53"/>
      <c r="EH37" s="53"/>
      <c r="EI37" s="53"/>
      <c r="EJ37" s="35">
        <v>1</v>
      </c>
      <c r="EK37" s="35">
        <v>0</v>
      </c>
      <c r="EL37" s="35">
        <v>0</v>
      </c>
      <c r="EM37" s="35"/>
      <c r="EN37" s="35"/>
      <c r="EO37" s="35"/>
      <c r="EP37" s="51"/>
      <c r="EQ37" s="51">
        <v>1</v>
      </c>
      <c r="ER37" s="51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57"/>
      <c r="IF37" s="50">
        <f t="shared" si="0"/>
        <v>0.2</v>
      </c>
      <c r="IG37" s="50">
        <f t="shared" si="1"/>
        <v>0</v>
      </c>
      <c r="IH37" s="50">
        <f t="shared" si="2"/>
        <v>0</v>
      </c>
      <c r="II37" s="50">
        <f t="shared" si="3"/>
        <v>0.2</v>
      </c>
      <c r="IJ37" s="50">
        <f t="shared" si="5"/>
        <v>0</v>
      </c>
      <c r="IK37" s="50">
        <f t="shared" si="6"/>
        <v>0</v>
      </c>
      <c r="IL37" s="50">
        <f t="shared" si="7"/>
        <v>0</v>
      </c>
      <c r="IM37" s="50">
        <f t="shared" si="8"/>
        <v>0</v>
      </c>
      <c r="IN37" s="47">
        <f t="shared" si="9"/>
        <v>1</v>
      </c>
      <c r="IO37" s="47">
        <f t="shared" si="10"/>
        <v>0</v>
      </c>
      <c r="IP37" s="47">
        <f t="shared" si="11"/>
        <v>0</v>
      </c>
      <c r="IQ37" s="47">
        <f t="shared" si="12"/>
        <v>0</v>
      </c>
      <c r="IR37" s="47">
        <f t="shared" si="13"/>
        <v>0</v>
      </c>
      <c r="IS37" s="47">
        <f t="shared" si="14"/>
        <v>0</v>
      </c>
      <c r="IT37" s="95">
        <f t="shared" si="15"/>
        <v>0</v>
      </c>
      <c r="IU37" s="95">
        <f t="shared" si="16"/>
        <v>1</v>
      </c>
      <c r="IV37" s="36">
        <v>2.1</v>
      </c>
      <c r="IW37" s="52">
        <v>1</v>
      </c>
      <c r="IX37" s="36"/>
      <c r="IY37" s="4"/>
      <c r="IZ37" s="4"/>
    </row>
    <row r="38" spans="1:260" s="5" customFormat="1" ht="15.95" customHeight="1">
      <c r="A38" s="70">
        <v>32</v>
      </c>
      <c r="B38" s="71" t="s">
        <v>100</v>
      </c>
      <c r="C38" s="71" t="s">
        <v>101</v>
      </c>
      <c r="D38" s="71" t="s">
        <v>102</v>
      </c>
      <c r="E38" s="72">
        <v>18.399999999999999</v>
      </c>
      <c r="F38" s="72"/>
      <c r="G38" s="73">
        <v>100</v>
      </c>
      <c r="H38" s="72"/>
      <c r="I38" s="73">
        <v>100</v>
      </c>
      <c r="J38" s="73">
        <v>0</v>
      </c>
      <c r="K38" s="73"/>
      <c r="L38" s="73"/>
      <c r="M38" s="73"/>
      <c r="N38" s="73"/>
      <c r="O38" s="72"/>
      <c r="P38" s="72">
        <v>100</v>
      </c>
      <c r="Q38" s="72">
        <v>0</v>
      </c>
      <c r="R38" s="72"/>
      <c r="S38" s="72"/>
      <c r="T38" s="72"/>
      <c r="U38" s="72"/>
      <c r="V38" s="73">
        <v>100</v>
      </c>
      <c r="W38" s="73">
        <v>0</v>
      </c>
      <c r="X38" s="73"/>
      <c r="Y38" s="73">
        <v>100</v>
      </c>
      <c r="Z38" s="73"/>
      <c r="AA38" s="73"/>
      <c r="AB38" s="73"/>
      <c r="AC38" s="73"/>
      <c r="AD38" s="73">
        <v>0</v>
      </c>
      <c r="AE38" s="73"/>
      <c r="AF38" s="73">
        <v>0</v>
      </c>
      <c r="AG38" s="73"/>
      <c r="AH38" s="73">
        <v>100</v>
      </c>
      <c r="AI38" s="73"/>
      <c r="AJ38" s="73"/>
      <c r="AK38" s="73">
        <v>340</v>
      </c>
      <c r="AL38" s="73">
        <v>340</v>
      </c>
      <c r="AM38" s="73">
        <v>0</v>
      </c>
      <c r="AN38" s="73">
        <v>0</v>
      </c>
      <c r="AO38" s="73"/>
      <c r="AP38" s="73">
        <v>0</v>
      </c>
      <c r="AQ38" s="73"/>
      <c r="AR38" s="73"/>
      <c r="AS38" s="73">
        <v>160</v>
      </c>
      <c r="AT38" s="73"/>
      <c r="AU38" s="73">
        <v>0</v>
      </c>
      <c r="AV38" s="73"/>
      <c r="AW38" s="73">
        <v>180</v>
      </c>
      <c r="AX38" s="73"/>
      <c r="AY38" s="73"/>
      <c r="AZ38" s="73">
        <v>21</v>
      </c>
      <c r="BA38" s="73"/>
      <c r="BB38" s="73">
        <v>21</v>
      </c>
      <c r="BC38" s="73">
        <v>0</v>
      </c>
      <c r="BD38" s="73"/>
      <c r="BE38" s="73"/>
      <c r="BF38" s="73"/>
      <c r="BG38" s="73"/>
      <c r="BH38" s="73"/>
      <c r="BI38" s="73">
        <v>21</v>
      </c>
      <c r="BJ38" s="73">
        <v>0</v>
      </c>
      <c r="BK38" s="72"/>
      <c r="BL38" s="72"/>
      <c r="BM38" s="72"/>
      <c r="BN38" s="72"/>
      <c r="BO38" s="74"/>
      <c r="BP38" s="72"/>
      <c r="BQ38" s="72"/>
      <c r="BR38" s="72"/>
      <c r="BS38" s="72"/>
      <c r="BT38" s="72"/>
      <c r="BU38" s="72"/>
      <c r="BV38" s="72"/>
      <c r="BW38" s="72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5"/>
      <c r="CI38" s="74"/>
      <c r="CJ38" s="74"/>
      <c r="CK38" s="74"/>
      <c r="CL38" s="72"/>
      <c r="CM38" s="72"/>
      <c r="CN38" s="72"/>
      <c r="CO38" s="72"/>
      <c r="CP38" s="72"/>
      <c r="CQ38" s="74">
        <v>5.6</v>
      </c>
      <c r="CR38" s="74">
        <v>2</v>
      </c>
      <c r="CS38" s="74">
        <v>2</v>
      </c>
      <c r="CT38" s="74">
        <v>0</v>
      </c>
      <c r="CU38" s="74">
        <v>0</v>
      </c>
      <c r="CV38" s="74">
        <v>1.6</v>
      </c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>
        <v>3</v>
      </c>
      <c r="DJ38" s="74">
        <v>12</v>
      </c>
      <c r="DK38" s="74">
        <v>5</v>
      </c>
      <c r="DL38" s="74">
        <v>2</v>
      </c>
      <c r="DM38" s="74">
        <v>0</v>
      </c>
      <c r="DN38" s="74">
        <v>0</v>
      </c>
      <c r="DO38" s="74">
        <v>5</v>
      </c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6"/>
      <c r="EB38" s="76"/>
      <c r="EC38" s="76"/>
      <c r="ED38" s="76"/>
      <c r="EE38" s="76"/>
      <c r="EF38" s="76"/>
      <c r="EG38" s="76"/>
      <c r="EH38" s="76"/>
      <c r="EI38" s="76"/>
      <c r="EJ38" s="74">
        <v>1</v>
      </c>
      <c r="EK38" s="74">
        <v>0</v>
      </c>
      <c r="EL38" s="74">
        <v>1</v>
      </c>
      <c r="EM38" s="74">
        <v>0</v>
      </c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  <c r="FC38" s="74"/>
      <c r="FD38" s="74"/>
      <c r="FE38" s="74"/>
      <c r="FF38" s="74"/>
      <c r="FG38" s="74"/>
      <c r="FH38" s="74"/>
      <c r="FI38" s="74"/>
      <c r="FJ38" s="74"/>
      <c r="FK38" s="74"/>
      <c r="FL38" s="72"/>
      <c r="FM38" s="72"/>
      <c r="FN38" s="72"/>
      <c r="FO38" s="72"/>
      <c r="FP38" s="72"/>
      <c r="FQ38" s="72"/>
      <c r="FR38" s="72"/>
      <c r="FS38" s="72">
        <f t="shared" ref="FS38:FS68" si="17">SUM(FL38+FM38+FN38+FO38+FP38)-FK38</f>
        <v>0</v>
      </c>
      <c r="FT38" s="72"/>
      <c r="FU38" s="72"/>
      <c r="FV38" s="72"/>
      <c r="FW38" s="72"/>
      <c r="FX38" s="72"/>
      <c r="FY38" s="72"/>
      <c r="FZ38" s="72"/>
      <c r="GA38" s="72"/>
      <c r="GB38" s="72">
        <v>1.8</v>
      </c>
      <c r="GC38" s="72">
        <v>0</v>
      </c>
      <c r="GD38" s="72">
        <v>0.5</v>
      </c>
      <c r="GE38" s="72">
        <v>1.3</v>
      </c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>
        <v>1</v>
      </c>
      <c r="HM38" s="72">
        <v>0</v>
      </c>
      <c r="HN38" s="72">
        <v>0</v>
      </c>
      <c r="HO38" s="72">
        <v>1</v>
      </c>
      <c r="HP38" s="72"/>
      <c r="HQ38" s="72"/>
      <c r="HR38" s="72"/>
      <c r="HS38" s="72"/>
      <c r="HT38" s="72"/>
      <c r="HU38" s="72"/>
      <c r="HV38" s="72"/>
      <c r="HW38" s="72"/>
      <c r="HX38" s="72"/>
      <c r="HY38" s="72"/>
      <c r="HZ38" s="72"/>
      <c r="IA38" s="72"/>
      <c r="IB38" s="72"/>
      <c r="IC38" s="72"/>
      <c r="ID38" s="72"/>
      <c r="IE38" s="77"/>
      <c r="IF38" s="78">
        <f t="shared" si="0"/>
        <v>1.8</v>
      </c>
      <c r="IG38" s="78">
        <f t="shared" si="1"/>
        <v>0</v>
      </c>
      <c r="IH38" s="78">
        <f t="shared" si="2"/>
        <v>0.5</v>
      </c>
      <c r="II38" s="78">
        <f t="shared" si="3"/>
        <v>1.3</v>
      </c>
      <c r="IJ38" s="78">
        <f>CB38+CK38+GF38+GO38+GX38</f>
        <v>0</v>
      </c>
      <c r="IK38" s="78">
        <f t="shared" ref="IK38:IK101" si="18">CC38+CL38+GG38+GP38+GY38</f>
        <v>0</v>
      </c>
      <c r="IL38" s="78">
        <f t="shared" si="7"/>
        <v>0</v>
      </c>
      <c r="IM38" s="78">
        <f t="shared" si="8"/>
        <v>0</v>
      </c>
      <c r="IN38" s="79">
        <f t="shared" si="9"/>
        <v>6.6</v>
      </c>
      <c r="IO38" s="79">
        <f t="shared" si="10"/>
        <v>2</v>
      </c>
      <c r="IP38" s="79">
        <f t="shared" si="11"/>
        <v>3</v>
      </c>
      <c r="IQ38" s="79">
        <f t="shared" si="12"/>
        <v>0</v>
      </c>
      <c r="IR38" s="79">
        <f t="shared" si="13"/>
        <v>0</v>
      </c>
      <c r="IS38" s="79">
        <f t="shared" si="14"/>
        <v>1.6</v>
      </c>
      <c r="IT38" s="79">
        <f t="shared" si="15"/>
        <v>0</v>
      </c>
      <c r="IU38" s="79">
        <f t="shared" si="16"/>
        <v>0</v>
      </c>
      <c r="IV38" s="72">
        <v>1.8</v>
      </c>
      <c r="IW38" s="80">
        <v>1</v>
      </c>
      <c r="IX38" s="72"/>
      <c r="IY38" s="4"/>
      <c r="IZ38" s="4"/>
    </row>
    <row r="39" spans="1:260" s="5" customFormat="1" ht="15.95" customHeight="1">
      <c r="A39" s="81">
        <v>33</v>
      </c>
      <c r="B39" s="71" t="s">
        <v>103</v>
      </c>
      <c r="C39" s="71" t="s">
        <v>101</v>
      </c>
      <c r="D39" s="71" t="s">
        <v>102</v>
      </c>
      <c r="E39" s="72">
        <v>95.9</v>
      </c>
      <c r="F39" s="72"/>
      <c r="G39" s="73">
        <v>100</v>
      </c>
      <c r="H39" s="72"/>
      <c r="I39" s="73">
        <v>100</v>
      </c>
      <c r="J39" s="73">
        <v>0</v>
      </c>
      <c r="K39" s="73"/>
      <c r="L39" s="73"/>
      <c r="M39" s="73"/>
      <c r="N39" s="73"/>
      <c r="O39" s="72"/>
      <c r="P39" s="72">
        <v>100</v>
      </c>
      <c r="Q39" s="72">
        <v>0</v>
      </c>
      <c r="R39" s="72"/>
      <c r="S39" s="72"/>
      <c r="T39" s="72"/>
      <c r="U39" s="72"/>
      <c r="V39" s="73">
        <v>0</v>
      </c>
      <c r="W39" s="73">
        <v>0</v>
      </c>
      <c r="X39" s="73"/>
      <c r="Y39" s="73">
        <v>0</v>
      </c>
      <c r="Z39" s="73"/>
      <c r="AA39" s="73"/>
      <c r="AB39" s="73"/>
      <c r="AC39" s="73"/>
      <c r="AD39" s="73">
        <v>0</v>
      </c>
      <c r="AE39" s="73"/>
      <c r="AF39" s="73"/>
      <c r="AG39" s="73"/>
      <c r="AH39" s="73"/>
      <c r="AI39" s="73"/>
      <c r="AJ39" s="73"/>
      <c r="AK39" s="73">
        <v>175</v>
      </c>
      <c r="AL39" s="73">
        <v>175</v>
      </c>
      <c r="AM39" s="73">
        <v>0</v>
      </c>
      <c r="AN39" s="73">
        <v>0</v>
      </c>
      <c r="AO39" s="73"/>
      <c r="AP39" s="73">
        <v>0</v>
      </c>
      <c r="AQ39" s="73"/>
      <c r="AR39" s="73"/>
      <c r="AS39" s="73">
        <v>75</v>
      </c>
      <c r="AT39" s="73"/>
      <c r="AU39" s="73">
        <v>3</v>
      </c>
      <c r="AV39" s="73"/>
      <c r="AW39" s="73">
        <v>97</v>
      </c>
      <c r="AX39" s="73"/>
      <c r="AY39" s="73"/>
      <c r="AZ39" s="73">
        <v>12</v>
      </c>
      <c r="BA39" s="73"/>
      <c r="BB39" s="73">
        <v>12</v>
      </c>
      <c r="BC39" s="73">
        <v>0</v>
      </c>
      <c r="BD39" s="73"/>
      <c r="BE39" s="73"/>
      <c r="BF39" s="73"/>
      <c r="BG39" s="73"/>
      <c r="BH39" s="73"/>
      <c r="BI39" s="73">
        <v>12</v>
      </c>
      <c r="BJ39" s="73">
        <v>0</v>
      </c>
      <c r="BK39" s="72">
        <v>0</v>
      </c>
      <c r="BL39" s="72"/>
      <c r="BM39" s="72"/>
      <c r="BN39" s="72"/>
      <c r="BO39" s="82">
        <v>1</v>
      </c>
      <c r="BP39" s="83"/>
      <c r="BQ39" s="83"/>
      <c r="BR39" s="83">
        <v>0</v>
      </c>
      <c r="BS39" s="83"/>
      <c r="BT39" s="83">
        <v>1</v>
      </c>
      <c r="BU39" s="83"/>
      <c r="BV39" s="83"/>
      <c r="BW39" s="83"/>
      <c r="BX39" s="84">
        <v>0.1</v>
      </c>
      <c r="BY39" s="72">
        <v>0</v>
      </c>
      <c r="BZ39" s="72">
        <v>0</v>
      </c>
      <c r="CA39" s="72">
        <v>0</v>
      </c>
      <c r="CB39" s="72"/>
      <c r="CC39" s="72">
        <v>0.1</v>
      </c>
      <c r="CD39" s="72"/>
      <c r="CE39" s="72"/>
      <c r="CF39" s="74"/>
      <c r="CG39" s="72"/>
      <c r="CH39" s="85"/>
      <c r="CI39" s="83"/>
      <c r="CJ39" s="83"/>
      <c r="CK39" s="83"/>
      <c r="CL39" s="72"/>
      <c r="CM39" s="72"/>
      <c r="CN39" s="72"/>
      <c r="CO39" s="72"/>
      <c r="CP39" s="72"/>
      <c r="CQ39" s="74">
        <v>19.899999999999999</v>
      </c>
      <c r="CR39" s="74">
        <v>0</v>
      </c>
      <c r="CS39" s="74">
        <v>0</v>
      </c>
      <c r="CT39" s="74">
        <v>10</v>
      </c>
      <c r="CU39" s="74">
        <v>0</v>
      </c>
      <c r="CV39" s="74">
        <v>9.9</v>
      </c>
      <c r="CW39" s="74"/>
      <c r="CX39" s="74"/>
      <c r="CY39" s="74"/>
      <c r="CZ39" s="73"/>
      <c r="DA39" s="83"/>
      <c r="DB39" s="83"/>
      <c r="DC39" s="83"/>
      <c r="DD39" s="83"/>
      <c r="DE39" s="83"/>
      <c r="DF39" s="83"/>
      <c r="DG39" s="83"/>
      <c r="DH39" s="83"/>
      <c r="DI39" s="73"/>
      <c r="DJ39" s="73"/>
      <c r="DK39" s="83">
        <v>0</v>
      </c>
      <c r="DL39" s="73"/>
      <c r="DM39" s="73"/>
      <c r="DN39" s="73"/>
      <c r="DO39" s="73"/>
      <c r="DP39" s="73"/>
      <c r="DQ39" s="73"/>
      <c r="DR39" s="74"/>
      <c r="DS39" s="74"/>
      <c r="DT39" s="74"/>
      <c r="DU39" s="74"/>
      <c r="DV39" s="74"/>
      <c r="DW39" s="74"/>
      <c r="DX39" s="74"/>
      <c r="DY39" s="74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6">
        <v>0.2</v>
      </c>
      <c r="EK39" s="86">
        <v>0.2</v>
      </c>
      <c r="EL39" s="86">
        <v>0</v>
      </c>
      <c r="EM39" s="86">
        <v>0</v>
      </c>
      <c r="EN39" s="86"/>
      <c r="EO39" s="86"/>
      <c r="EP39" s="86"/>
      <c r="EQ39" s="86"/>
      <c r="ER39" s="74"/>
      <c r="ES39" s="72"/>
      <c r="ET39" s="83"/>
      <c r="EU39" s="83"/>
      <c r="EV39" s="83"/>
      <c r="EW39" s="83"/>
      <c r="EX39" s="83"/>
      <c r="EY39" s="83"/>
      <c r="EZ39" s="83"/>
      <c r="FA39" s="83"/>
      <c r="FB39" s="72"/>
      <c r="FC39" s="83"/>
      <c r="FD39" s="83"/>
      <c r="FE39" s="83"/>
      <c r="FF39" s="83"/>
      <c r="FG39" s="83"/>
      <c r="FH39" s="83"/>
      <c r="FI39" s="83"/>
      <c r="FJ39" s="83"/>
      <c r="FK39" s="72"/>
      <c r="FL39" s="83"/>
      <c r="FM39" s="83"/>
      <c r="FN39" s="83"/>
      <c r="FO39" s="83"/>
      <c r="FP39" s="83"/>
      <c r="FQ39" s="83"/>
      <c r="FR39" s="83"/>
      <c r="FS39" s="72">
        <f t="shared" si="17"/>
        <v>0</v>
      </c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  <c r="HN39" s="72"/>
      <c r="HO39" s="72"/>
      <c r="HP39" s="72"/>
      <c r="HQ39" s="72"/>
      <c r="HR39" s="72"/>
      <c r="HS39" s="72"/>
      <c r="HT39" s="72"/>
      <c r="HU39" s="72"/>
      <c r="HV39" s="72"/>
      <c r="HW39" s="72"/>
      <c r="HX39" s="72"/>
      <c r="HY39" s="72"/>
      <c r="HZ39" s="72"/>
      <c r="IA39" s="72"/>
      <c r="IB39" s="72"/>
      <c r="IC39" s="72"/>
      <c r="ID39" s="72"/>
      <c r="IE39" s="77"/>
      <c r="IF39" s="78">
        <f t="shared" ref="IF39:IF70" si="19">BX39+CG39+GB39+GK39+GT39</f>
        <v>0.1</v>
      </c>
      <c r="IG39" s="78">
        <f t="shared" ref="IG39:IG70" si="20">BY39+CH39+GC39+GL39+GU39</f>
        <v>0</v>
      </c>
      <c r="IH39" s="78">
        <f t="shared" ref="IH39:IH70" si="21">BZ39+CI39+GD39+GM39+GV39</f>
        <v>0</v>
      </c>
      <c r="II39" s="78">
        <f t="shared" ref="II39:II70" si="22">CA39+CJ39+GE39+GN39+GW39</f>
        <v>0</v>
      </c>
      <c r="IJ39" s="78">
        <f t="shared" ref="IJ39:IJ70" si="23">CB39+CK39+GF39+GO39+GX39</f>
        <v>0</v>
      </c>
      <c r="IK39" s="78">
        <f t="shared" si="18"/>
        <v>0.1</v>
      </c>
      <c r="IL39" s="78">
        <f t="shared" si="7"/>
        <v>0</v>
      </c>
      <c r="IM39" s="78">
        <f t="shared" si="8"/>
        <v>0</v>
      </c>
      <c r="IN39" s="79">
        <f t="shared" si="9"/>
        <v>20.099999999999998</v>
      </c>
      <c r="IO39" s="79">
        <f t="shared" si="10"/>
        <v>0.2</v>
      </c>
      <c r="IP39" s="79">
        <f t="shared" si="11"/>
        <v>0</v>
      </c>
      <c r="IQ39" s="79">
        <f t="shared" si="12"/>
        <v>10</v>
      </c>
      <c r="IR39" s="79">
        <f t="shared" si="13"/>
        <v>0</v>
      </c>
      <c r="IS39" s="79">
        <f t="shared" si="14"/>
        <v>9.9</v>
      </c>
      <c r="IT39" s="79">
        <f t="shared" si="15"/>
        <v>0</v>
      </c>
      <c r="IU39" s="79">
        <f t="shared" si="16"/>
        <v>0</v>
      </c>
      <c r="IV39" s="72">
        <v>7.2</v>
      </c>
      <c r="IW39" s="80">
        <v>1</v>
      </c>
      <c r="IX39" s="72"/>
      <c r="IY39" s="4"/>
      <c r="IZ39" s="4"/>
    </row>
    <row r="40" spans="1:260" s="5" customFormat="1" ht="15.95" customHeight="1">
      <c r="A40" s="70">
        <v>34</v>
      </c>
      <c r="B40" s="71" t="s">
        <v>104</v>
      </c>
      <c r="C40" s="71" t="s">
        <v>101</v>
      </c>
      <c r="D40" s="71" t="s">
        <v>102</v>
      </c>
      <c r="E40" s="72">
        <v>11.3</v>
      </c>
      <c r="F40" s="72"/>
      <c r="G40" s="73">
        <v>200</v>
      </c>
      <c r="H40" s="72"/>
      <c r="I40" s="73">
        <v>200</v>
      </c>
      <c r="J40" s="73">
        <v>0</v>
      </c>
      <c r="K40" s="73"/>
      <c r="L40" s="73"/>
      <c r="M40" s="73"/>
      <c r="N40" s="73"/>
      <c r="O40" s="72"/>
      <c r="P40" s="72">
        <v>200</v>
      </c>
      <c r="Q40" s="72">
        <v>0</v>
      </c>
      <c r="R40" s="72"/>
      <c r="S40" s="72"/>
      <c r="T40" s="72"/>
      <c r="U40" s="72"/>
      <c r="V40" s="73">
        <v>0</v>
      </c>
      <c r="W40" s="73">
        <v>0</v>
      </c>
      <c r="X40" s="73"/>
      <c r="Y40" s="73">
        <v>0</v>
      </c>
      <c r="Z40" s="73"/>
      <c r="AA40" s="73"/>
      <c r="AB40" s="73"/>
      <c r="AC40" s="73"/>
      <c r="AD40" s="73">
        <v>0</v>
      </c>
      <c r="AE40" s="73"/>
      <c r="AF40" s="73">
        <v>0</v>
      </c>
      <c r="AG40" s="73"/>
      <c r="AH40" s="73"/>
      <c r="AI40" s="73"/>
      <c r="AJ40" s="73"/>
      <c r="AK40" s="73">
        <v>60</v>
      </c>
      <c r="AL40" s="73">
        <v>60</v>
      </c>
      <c r="AM40" s="73">
        <v>0</v>
      </c>
      <c r="AN40" s="73">
        <v>0</v>
      </c>
      <c r="AO40" s="73"/>
      <c r="AP40" s="73">
        <v>0</v>
      </c>
      <c r="AQ40" s="73"/>
      <c r="AR40" s="73"/>
      <c r="AS40" s="73">
        <v>60</v>
      </c>
      <c r="AT40" s="73"/>
      <c r="AU40" s="73">
        <v>0</v>
      </c>
      <c r="AV40" s="73"/>
      <c r="AW40" s="73"/>
      <c r="AX40" s="73"/>
      <c r="AY40" s="73"/>
      <c r="AZ40" s="73">
        <v>25</v>
      </c>
      <c r="BA40" s="73"/>
      <c r="BB40" s="73">
        <v>25</v>
      </c>
      <c r="BC40" s="73">
        <v>0</v>
      </c>
      <c r="BD40" s="73"/>
      <c r="BE40" s="73"/>
      <c r="BF40" s="73"/>
      <c r="BG40" s="73"/>
      <c r="BH40" s="73"/>
      <c r="BI40" s="73">
        <v>25</v>
      </c>
      <c r="BJ40" s="73">
        <v>0</v>
      </c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4"/>
      <c r="BY40" s="72"/>
      <c r="BZ40" s="72"/>
      <c r="CA40" s="72"/>
      <c r="CB40" s="72"/>
      <c r="CC40" s="72"/>
      <c r="CD40" s="72"/>
      <c r="CE40" s="72"/>
      <c r="CF40" s="74"/>
      <c r="CG40" s="72"/>
      <c r="CH40" s="87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>
        <v>0</v>
      </c>
      <c r="CW40" s="72"/>
      <c r="CX40" s="72"/>
      <c r="CY40" s="74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4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>
        <v>1</v>
      </c>
      <c r="EK40" s="72">
        <v>1</v>
      </c>
      <c r="EL40" s="72">
        <v>0</v>
      </c>
      <c r="EM40" s="72">
        <v>0</v>
      </c>
      <c r="EN40" s="72"/>
      <c r="EO40" s="72"/>
      <c r="EP40" s="72"/>
      <c r="EQ40" s="72"/>
      <c r="ER40" s="74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>
        <f t="shared" si="17"/>
        <v>0</v>
      </c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  <c r="HN40" s="72"/>
      <c r="HO40" s="72"/>
      <c r="HP40" s="72"/>
      <c r="HQ40" s="72"/>
      <c r="HR40" s="72"/>
      <c r="HS40" s="72"/>
      <c r="HT40" s="72"/>
      <c r="HU40" s="72">
        <v>1</v>
      </c>
      <c r="HV40" s="72">
        <v>0</v>
      </c>
      <c r="HW40" s="72">
        <v>0</v>
      </c>
      <c r="HX40" s="72">
        <v>1</v>
      </c>
      <c r="HY40" s="72"/>
      <c r="HZ40" s="72"/>
      <c r="IA40" s="72"/>
      <c r="IB40" s="72"/>
      <c r="IC40" s="72"/>
      <c r="ID40" s="72"/>
      <c r="IE40" s="77"/>
      <c r="IF40" s="78">
        <f t="shared" si="19"/>
        <v>0</v>
      </c>
      <c r="IG40" s="78">
        <f t="shared" si="20"/>
        <v>0</v>
      </c>
      <c r="IH40" s="78">
        <f t="shared" si="21"/>
        <v>0</v>
      </c>
      <c r="II40" s="78">
        <f t="shared" si="22"/>
        <v>0</v>
      </c>
      <c r="IJ40" s="78">
        <f t="shared" si="23"/>
        <v>0</v>
      </c>
      <c r="IK40" s="78">
        <f t="shared" si="18"/>
        <v>0</v>
      </c>
      <c r="IL40" s="78">
        <f t="shared" si="7"/>
        <v>0</v>
      </c>
      <c r="IM40" s="78">
        <f t="shared" si="8"/>
        <v>0</v>
      </c>
      <c r="IN40" s="79">
        <f t="shared" ref="IN40:IN71" si="24">CQ40+EA40+EJ40+ES40</f>
        <v>1</v>
      </c>
      <c r="IO40" s="79">
        <f t="shared" ref="IO40:IO71" si="25">CR40+EB40+EK40+ET40</f>
        <v>1</v>
      </c>
      <c r="IP40" s="79">
        <f t="shared" ref="IP40:IP71" si="26">CS40+EC40+EL40+EU40</f>
        <v>0</v>
      </c>
      <c r="IQ40" s="79">
        <f t="shared" ref="IQ40:IQ71" si="27">CT40+ED40+EM40+EV40</f>
        <v>0</v>
      </c>
      <c r="IR40" s="79">
        <f t="shared" ref="IR40:IR71" si="28">CU40+EE40+EN40+EW40</f>
        <v>0</v>
      </c>
      <c r="IS40" s="79">
        <f t="shared" ref="IS40:IS71" si="29">CV40+EF40+EO40+EX40</f>
        <v>0</v>
      </c>
      <c r="IT40" s="79">
        <f t="shared" ref="IT40:IT71" si="30">CW40+EG40+EP40+EY40</f>
        <v>0</v>
      </c>
      <c r="IU40" s="79">
        <f t="shared" si="16"/>
        <v>0</v>
      </c>
      <c r="IV40" s="72">
        <v>4</v>
      </c>
      <c r="IW40" s="80">
        <v>1</v>
      </c>
      <c r="IX40" s="72"/>
      <c r="IY40" s="4"/>
      <c r="IZ40" s="4"/>
    </row>
    <row r="41" spans="1:260" s="5" customFormat="1" ht="15.95" customHeight="1">
      <c r="A41" s="70">
        <v>35</v>
      </c>
      <c r="B41" s="71" t="s">
        <v>105</v>
      </c>
      <c r="C41" s="71" t="s">
        <v>101</v>
      </c>
      <c r="D41" s="71" t="s">
        <v>102</v>
      </c>
      <c r="E41" s="72">
        <v>19.899999999999999</v>
      </c>
      <c r="F41" s="72"/>
      <c r="G41" s="73">
        <v>0</v>
      </c>
      <c r="H41" s="72"/>
      <c r="I41" s="73">
        <v>0</v>
      </c>
      <c r="J41" s="73"/>
      <c r="K41" s="73"/>
      <c r="L41" s="73"/>
      <c r="M41" s="73"/>
      <c r="N41" s="73"/>
      <c r="O41" s="72"/>
      <c r="P41" s="72">
        <v>0</v>
      </c>
      <c r="Q41" s="72"/>
      <c r="R41" s="72"/>
      <c r="S41" s="72"/>
      <c r="T41" s="72"/>
      <c r="U41" s="72"/>
      <c r="V41" s="73">
        <v>0</v>
      </c>
      <c r="W41" s="73">
        <v>0</v>
      </c>
      <c r="X41" s="73"/>
      <c r="Y41" s="73">
        <v>0</v>
      </c>
      <c r="Z41" s="73"/>
      <c r="AA41" s="73"/>
      <c r="AB41" s="73"/>
      <c r="AC41" s="73"/>
      <c r="AD41" s="73">
        <v>0</v>
      </c>
      <c r="AE41" s="73"/>
      <c r="AF41" s="73"/>
      <c r="AG41" s="73"/>
      <c r="AH41" s="73"/>
      <c r="AI41" s="73"/>
      <c r="AJ41" s="73"/>
      <c r="AK41" s="73">
        <v>50</v>
      </c>
      <c r="AL41" s="73">
        <v>50</v>
      </c>
      <c r="AM41" s="73">
        <v>0</v>
      </c>
      <c r="AN41" s="73">
        <v>0</v>
      </c>
      <c r="AO41" s="73"/>
      <c r="AP41" s="73">
        <v>0</v>
      </c>
      <c r="AQ41" s="73"/>
      <c r="AR41" s="73"/>
      <c r="AS41" s="73">
        <v>30</v>
      </c>
      <c r="AT41" s="73"/>
      <c r="AU41" s="73">
        <v>20</v>
      </c>
      <c r="AV41" s="73"/>
      <c r="AW41" s="73"/>
      <c r="AX41" s="73"/>
      <c r="AY41" s="73"/>
      <c r="AZ41" s="73">
        <v>30</v>
      </c>
      <c r="BA41" s="73"/>
      <c r="BB41" s="73">
        <v>30</v>
      </c>
      <c r="BC41" s="73">
        <v>0</v>
      </c>
      <c r="BD41" s="73"/>
      <c r="BE41" s="73"/>
      <c r="BF41" s="73"/>
      <c r="BG41" s="73"/>
      <c r="BH41" s="73"/>
      <c r="BI41" s="73">
        <v>30</v>
      </c>
      <c r="BJ41" s="73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4"/>
      <c r="CG41" s="72"/>
      <c r="CH41" s="87"/>
      <c r="CI41" s="72"/>
      <c r="CJ41" s="72"/>
      <c r="CK41" s="72"/>
      <c r="CL41" s="72"/>
      <c r="CM41" s="72"/>
      <c r="CN41" s="72"/>
      <c r="CO41" s="72"/>
      <c r="CP41" s="72"/>
      <c r="CQ41" s="72">
        <v>4.3</v>
      </c>
      <c r="CR41" s="72"/>
      <c r="CS41" s="72">
        <v>4.3</v>
      </c>
      <c r="CT41" s="72">
        <v>0</v>
      </c>
      <c r="CU41" s="72">
        <v>0</v>
      </c>
      <c r="CV41" s="72">
        <v>0</v>
      </c>
      <c r="CW41" s="72"/>
      <c r="CX41" s="72"/>
      <c r="CY41" s="74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4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>
        <v>0.5</v>
      </c>
      <c r="EK41" s="74">
        <v>0.5</v>
      </c>
      <c r="EL41" s="74">
        <v>0</v>
      </c>
      <c r="EM41" s="74">
        <v>0</v>
      </c>
      <c r="EN41" s="74"/>
      <c r="EO41" s="74"/>
      <c r="EP41" s="74"/>
      <c r="EQ41" s="74"/>
      <c r="ER41" s="74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>
        <f t="shared" si="17"/>
        <v>0</v>
      </c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>
        <v>1</v>
      </c>
      <c r="HM41" s="72">
        <v>0</v>
      </c>
      <c r="HN41" s="72">
        <v>0</v>
      </c>
      <c r="HO41" s="72">
        <v>0</v>
      </c>
      <c r="HP41" s="72"/>
      <c r="HQ41" s="72">
        <v>1</v>
      </c>
      <c r="HR41" s="72"/>
      <c r="HS41" s="72"/>
      <c r="HT41" s="72"/>
      <c r="HU41" s="72"/>
      <c r="HV41" s="72"/>
      <c r="HW41" s="72"/>
      <c r="HX41" s="72"/>
      <c r="HY41" s="72"/>
      <c r="HZ41" s="72"/>
      <c r="IA41" s="72"/>
      <c r="IB41" s="72"/>
      <c r="IC41" s="72"/>
      <c r="ID41" s="72"/>
      <c r="IE41" s="77"/>
      <c r="IF41" s="78">
        <f t="shared" si="19"/>
        <v>0</v>
      </c>
      <c r="IG41" s="78">
        <f t="shared" si="20"/>
        <v>0</v>
      </c>
      <c r="IH41" s="78">
        <f t="shared" si="21"/>
        <v>0</v>
      </c>
      <c r="II41" s="78">
        <f t="shared" si="22"/>
        <v>0</v>
      </c>
      <c r="IJ41" s="78">
        <f t="shared" si="23"/>
        <v>0</v>
      </c>
      <c r="IK41" s="78">
        <f t="shared" si="18"/>
        <v>0</v>
      </c>
      <c r="IL41" s="78">
        <f t="shared" si="7"/>
        <v>0</v>
      </c>
      <c r="IM41" s="78">
        <f t="shared" si="8"/>
        <v>0</v>
      </c>
      <c r="IN41" s="79">
        <f t="shared" si="24"/>
        <v>4.8</v>
      </c>
      <c r="IO41" s="79">
        <f t="shared" si="25"/>
        <v>0.5</v>
      </c>
      <c r="IP41" s="79">
        <f t="shared" si="26"/>
        <v>4.3</v>
      </c>
      <c r="IQ41" s="79">
        <f t="shared" si="27"/>
        <v>0</v>
      </c>
      <c r="IR41" s="79">
        <f t="shared" si="28"/>
        <v>0</v>
      </c>
      <c r="IS41" s="79">
        <f t="shared" si="29"/>
        <v>0</v>
      </c>
      <c r="IT41" s="79">
        <f t="shared" si="30"/>
        <v>0</v>
      </c>
      <c r="IU41" s="79">
        <f t="shared" si="16"/>
        <v>0</v>
      </c>
      <c r="IV41" s="72">
        <v>8.4</v>
      </c>
      <c r="IW41" s="80">
        <v>1</v>
      </c>
      <c r="IX41" s="72"/>
    </row>
    <row r="42" spans="1:260" s="5" customFormat="1" ht="15.95" customHeight="1">
      <c r="A42" s="70">
        <v>36</v>
      </c>
      <c r="B42" s="71" t="s">
        <v>106</v>
      </c>
      <c r="C42" s="71" t="s">
        <v>101</v>
      </c>
      <c r="D42" s="71" t="s">
        <v>102</v>
      </c>
      <c r="E42" s="72">
        <v>23.3</v>
      </c>
      <c r="F42" s="72"/>
      <c r="G42" s="73">
        <v>300</v>
      </c>
      <c r="H42" s="72"/>
      <c r="I42" s="73">
        <v>300</v>
      </c>
      <c r="J42" s="73">
        <v>0</v>
      </c>
      <c r="K42" s="73"/>
      <c r="L42" s="73"/>
      <c r="M42" s="73"/>
      <c r="N42" s="73"/>
      <c r="O42" s="72"/>
      <c r="P42" s="72">
        <v>300</v>
      </c>
      <c r="Q42" s="72">
        <v>0</v>
      </c>
      <c r="R42" s="72"/>
      <c r="S42" s="72"/>
      <c r="T42" s="72"/>
      <c r="U42" s="72"/>
      <c r="V42" s="73">
        <v>0</v>
      </c>
      <c r="W42" s="73">
        <v>0</v>
      </c>
      <c r="X42" s="73"/>
      <c r="Y42" s="73">
        <v>0</v>
      </c>
      <c r="Z42" s="73"/>
      <c r="AA42" s="73"/>
      <c r="AB42" s="73"/>
      <c r="AC42" s="73"/>
      <c r="AD42" s="73">
        <v>0</v>
      </c>
      <c r="AE42" s="73"/>
      <c r="AF42" s="73"/>
      <c r="AG42" s="73"/>
      <c r="AH42" s="73"/>
      <c r="AI42" s="73"/>
      <c r="AJ42" s="73"/>
      <c r="AK42" s="73">
        <v>35</v>
      </c>
      <c r="AL42" s="73">
        <v>35</v>
      </c>
      <c r="AM42" s="73">
        <v>0</v>
      </c>
      <c r="AN42" s="73">
        <v>0</v>
      </c>
      <c r="AO42" s="73"/>
      <c r="AP42" s="73">
        <v>0</v>
      </c>
      <c r="AQ42" s="73"/>
      <c r="AR42" s="73"/>
      <c r="AS42" s="73">
        <v>0</v>
      </c>
      <c r="AT42" s="73"/>
      <c r="AU42" s="73">
        <v>35</v>
      </c>
      <c r="AV42" s="73"/>
      <c r="AW42" s="73"/>
      <c r="AX42" s="73"/>
      <c r="AY42" s="73"/>
      <c r="AZ42" s="73">
        <v>25</v>
      </c>
      <c r="BA42" s="73"/>
      <c r="BB42" s="73">
        <v>25</v>
      </c>
      <c r="BC42" s="73">
        <v>0</v>
      </c>
      <c r="BD42" s="73"/>
      <c r="BE42" s="73"/>
      <c r="BF42" s="73"/>
      <c r="BG42" s="73"/>
      <c r="BH42" s="73"/>
      <c r="BI42" s="73">
        <v>25</v>
      </c>
      <c r="BJ42" s="73">
        <v>0</v>
      </c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4"/>
      <c r="CG42" s="72"/>
      <c r="CH42" s="87"/>
      <c r="CI42" s="72"/>
      <c r="CJ42" s="72"/>
      <c r="CK42" s="72"/>
      <c r="CL42" s="72"/>
      <c r="CM42" s="72"/>
      <c r="CN42" s="72"/>
      <c r="CO42" s="72"/>
      <c r="CP42" s="72"/>
      <c r="CQ42" s="72">
        <v>8.5</v>
      </c>
      <c r="CR42" s="72"/>
      <c r="CS42" s="72">
        <v>0</v>
      </c>
      <c r="CT42" s="72">
        <v>3.6</v>
      </c>
      <c r="CU42" s="72">
        <v>2</v>
      </c>
      <c r="CV42" s="72">
        <v>2.9</v>
      </c>
      <c r="CW42" s="72"/>
      <c r="CX42" s="72"/>
      <c r="CY42" s="74"/>
      <c r="CZ42" s="72"/>
      <c r="DA42" s="72"/>
      <c r="DB42" s="72"/>
      <c r="DC42" s="72"/>
      <c r="DD42" s="72"/>
      <c r="DE42" s="72"/>
      <c r="DF42" s="72"/>
      <c r="DG42" s="72"/>
      <c r="DH42" s="72"/>
      <c r="DI42" s="72">
        <v>4</v>
      </c>
      <c r="DJ42" s="72">
        <v>12</v>
      </c>
      <c r="DK42" s="72"/>
      <c r="DL42" s="72"/>
      <c r="DM42" s="72">
        <v>5</v>
      </c>
      <c r="DN42" s="72">
        <v>4</v>
      </c>
      <c r="DO42" s="72">
        <v>3</v>
      </c>
      <c r="DP42" s="72"/>
      <c r="DQ42" s="72"/>
      <c r="DR42" s="74"/>
      <c r="DS42" s="74"/>
      <c r="DT42" s="74"/>
      <c r="DU42" s="74"/>
      <c r="DV42" s="74"/>
      <c r="DW42" s="74"/>
      <c r="DX42" s="74"/>
      <c r="DY42" s="74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>
        <v>0.5</v>
      </c>
      <c r="EK42" s="72">
        <v>0.5</v>
      </c>
      <c r="EL42" s="72">
        <v>0</v>
      </c>
      <c r="EM42" s="72">
        <v>0</v>
      </c>
      <c r="EN42" s="72"/>
      <c r="EO42" s="72"/>
      <c r="EP42" s="72"/>
      <c r="EQ42" s="72"/>
      <c r="ER42" s="74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>
        <f t="shared" si="17"/>
        <v>0</v>
      </c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>
        <v>1</v>
      </c>
      <c r="HM42" s="72">
        <v>0</v>
      </c>
      <c r="HN42" s="72">
        <v>0</v>
      </c>
      <c r="HO42" s="72">
        <v>0</v>
      </c>
      <c r="HP42" s="72"/>
      <c r="HQ42" s="72">
        <v>1</v>
      </c>
      <c r="HR42" s="72"/>
      <c r="HS42" s="72"/>
      <c r="HT42" s="72"/>
      <c r="HU42" s="72"/>
      <c r="HV42" s="72"/>
      <c r="HW42" s="72"/>
      <c r="HX42" s="72"/>
      <c r="HY42" s="72"/>
      <c r="HZ42" s="72"/>
      <c r="IA42" s="72"/>
      <c r="IB42" s="72"/>
      <c r="IC42" s="72"/>
      <c r="ID42" s="72"/>
      <c r="IE42" s="77"/>
      <c r="IF42" s="78">
        <f t="shared" si="19"/>
        <v>0</v>
      </c>
      <c r="IG42" s="78">
        <f t="shared" si="20"/>
        <v>0</v>
      </c>
      <c r="IH42" s="78">
        <f t="shared" si="21"/>
        <v>0</v>
      </c>
      <c r="II42" s="78">
        <f t="shared" si="22"/>
        <v>0</v>
      </c>
      <c r="IJ42" s="78">
        <f t="shared" si="23"/>
        <v>0</v>
      </c>
      <c r="IK42" s="78">
        <f t="shared" si="18"/>
        <v>0</v>
      </c>
      <c r="IL42" s="78">
        <f t="shared" si="7"/>
        <v>0</v>
      </c>
      <c r="IM42" s="78">
        <f t="shared" si="8"/>
        <v>0</v>
      </c>
      <c r="IN42" s="79">
        <f t="shared" si="24"/>
        <v>9</v>
      </c>
      <c r="IO42" s="79">
        <f t="shared" si="25"/>
        <v>0.5</v>
      </c>
      <c r="IP42" s="79">
        <f t="shared" si="26"/>
        <v>0</v>
      </c>
      <c r="IQ42" s="79">
        <f t="shared" si="27"/>
        <v>3.6</v>
      </c>
      <c r="IR42" s="79">
        <f t="shared" si="28"/>
        <v>2</v>
      </c>
      <c r="IS42" s="79">
        <f t="shared" si="29"/>
        <v>2.9</v>
      </c>
      <c r="IT42" s="79">
        <f t="shared" si="30"/>
        <v>0</v>
      </c>
      <c r="IU42" s="79">
        <f t="shared" si="16"/>
        <v>0</v>
      </c>
      <c r="IV42" s="72">
        <v>4.5</v>
      </c>
      <c r="IW42" s="80">
        <v>1</v>
      </c>
      <c r="IX42" s="72"/>
    </row>
    <row r="43" spans="1:260" s="5" customFormat="1" ht="15.95" customHeight="1">
      <c r="A43" s="81">
        <v>37</v>
      </c>
      <c r="B43" s="71" t="s">
        <v>107</v>
      </c>
      <c r="C43" s="71" t="s">
        <v>101</v>
      </c>
      <c r="D43" s="71" t="s">
        <v>102</v>
      </c>
      <c r="E43" s="72">
        <v>1.5</v>
      </c>
      <c r="F43" s="72"/>
      <c r="G43" s="73">
        <v>200</v>
      </c>
      <c r="H43" s="72"/>
      <c r="I43" s="73">
        <v>200</v>
      </c>
      <c r="J43" s="73">
        <v>0</v>
      </c>
      <c r="K43" s="73"/>
      <c r="L43" s="73"/>
      <c r="M43" s="73"/>
      <c r="N43" s="73"/>
      <c r="O43" s="72"/>
      <c r="P43" s="72">
        <v>200</v>
      </c>
      <c r="Q43" s="72">
        <v>0</v>
      </c>
      <c r="R43" s="72"/>
      <c r="S43" s="72"/>
      <c r="T43" s="72"/>
      <c r="U43" s="72"/>
      <c r="V43" s="73">
        <v>0</v>
      </c>
      <c r="W43" s="73">
        <v>0</v>
      </c>
      <c r="X43" s="73"/>
      <c r="Y43" s="73">
        <v>0</v>
      </c>
      <c r="Z43" s="73"/>
      <c r="AA43" s="73"/>
      <c r="AB43" s="73"/>
      <c r="AC43" s="73"/>
      <c r="AD43" s="73">
        <v>0</v>
      </c>
      <c r="AE43" s="73"/>
      <c r="AF43" s="73"/>
      <c r="AG43" s="73"/>
      <c r="AH43" s="73"/>
      <c r="AI43" s="73"/>
      <c r="AJ43" s="73"/>
      <c r="AK43" s="73">
        <v>60</v>
      </c>
      <c r="AL43" s="73">
        <v>60</v>
      </c>
      <c r="AM43" s="73">
        <v>0</v>
      </c>
      <c r="AN43" s="73">
        <v>0</v>
      </c>
      <c r="AO43" s="73"/>
      <c r="AP43" s="73">
        <v>0</v>
      </c>
      <c r="AQ43" s="73"/>
      <c r="AR43" s="73"/>
      <c r="AS43" s="73">
        <v>60</v>
      </c>
      <c r="AT43" s="73"/>
      <c r="AU43" s="73">
        <v>0</v>
      </c>
      <c r="AV43" s="73"/>
      <c r="AW43" s="73"/>
      <c r="AX43" s="73"/>
      <c r="AY43" s="73"/>
      <c r="AZ43" s="73">
        <v>0</v>
      </c>
      <c r="BA43" s="73"/>
      <c r="BB43" s="73">
        <v>0</v>
      </c>
      <c r="BC43" s="73">
        <v>0</v>
      </c>
      <c r="BD43" s="73"/>
      <c r="BE43" s="73"/>
      <c r="BF43" s="73"/>
      <c r="BG43" s="73"/>
      <c r="BH43" s="73"/>
      <c r="BI43" s="73">
        <v>0</v>
      </c>
      <c r="BJ43" s="73">
        <v>0</v>
      </c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4"/>
      <c r="CG43" s="72"/>
      <c r="CH43" s="87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4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4"/>
      <c r="DS43" s="74"/>
      <c r="DT43" s="74"/>
      <c r="DU43" s="74"/>
      <c r="DV43" s="74"/>
      <c r="DW43" s="74"/>
      <c r="DX43" s="74"/>
      <c r="DY43" s="74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>
        <v>1.1000000000000001</v>
      </c>
      <c r="EK43" s="72">
        <v>0.5</v>
      </c>
      <c r="EL43" s="72">
        <v>0.6</v>
      </c>
      <c r="EM43" s="72">
        <v>0</v>
      </c>
      <c r="EN43" s="72"/>
      <c r="EO43" s="72"/>
      <c r="EP43" s="72"/>
      <c r="EQ43" s="72"/>
      <c r="ER43" s="74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>
        <f t="shared" si="17"/>
        <v>0</v>
      </c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>
        <v>1</v>
      </c>
      <c r="HM43" s="72">
        <v>0</v>
      </c>
      <c r="HN43" s="72">
        <v>0</v>
      </c>
      <c r="HO43" s="72">
        <v>0</v>
      </c>
      <c r="HP43" s="72"/>
      <c r="HQ43" s="72">
        <v>1</v>
      </c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7"/>
      <c r="IF43" s="78">
        <f t="shared" si="19"/>
        <v>0</v>
      </c>
      <c r="IG43" s="78">
        <f t="shared" si="20"/>
        <v>0</v>
      </c>
      <c r="IH43" s="78">
        <f t="shared" si="21"/>
        <v>0</v>
      </c>
      <c r="II43" s="78">
        <f t="shared" si="22"/>
        <v>0</v>
      </c>
      <c r="IJ43" s="78">
        <f t="shared" si="23"/>
        <v>0</v>
      </c>
      <c r="IK43" s="78">
        <f t="shared" si="18"/>
        <v>0</v>
      </c>
      <c r="IL43" s="78">
        <f t="shared" si="7"/>
        <v>0</v>
      </c>
      <c r="IM43" s="78">
        <f t="shared" si="8"/>
        <v>0</v>
      </c>
      <c r="IN43" s="79">
        <f t="shared" si="24"/>
        <v>1.1000000000000001</v>
      </c>
      <c r="IO43" s="79">
        <f t="shared" si="25"/>
        <v>0.5</v>
      </c>
      <c r="IP43" s="79">
        <f t="shared" si="26"/>
        <v>0.6</v>
      </c>
      <c r="IQ43" s="79">
        <f t="shared" si="27"/>
        <v>0</v>
      </c>
      <c r="IR43" s="79">
        <f t="shared" si="28"/>
        <v>0</v>
      </c>
      <c r="IS43" s="79">
        <f t="shared" si="29"/>
        <v>0</v>
      </c>
      <c r="IT43" s="79">
        <f t="shared" si="30"/>
        <v>0</v>
      </c>
      <c r="IU43" s="79">
        <f t="shared" si="16"/>
        <v>0</v>
      </c>
      <c r="IV43" s="72">
        <v>0</v>
      </c>
      <c r="IW43" s="80">
        <v>1</v>
      </c>
      <c r="IX43" s="72"/>
    </row>
    <row r="44" spans="1:260" s="5" customFormat="1" ht="15.95" customHeight="1">
      <c r="A44" s="70">
        <v>38</v>
      </c>
      <c r="B44" s="71" t="s">
        <v>108</v>
      </c>
      <c r="C44" s="71" t="s">
        <v>101</v>
      </c>
      <c r="D44" s="71" t="s">
        <v>102</v>
      </c>
      <c r="E44" s="72">
        <v>14</v>
      </c>
      <c r="F44" s="72"/>
      <c r="G44" s="73">
        <v>600</v>
      </c>
      <c r="H44" s="72"/>
      <c r="I44" s="73">
        <v>600</v>
      </c>
      <c r="J44" s="73">
        <v>0</v>
      </c>
      <c r="K44" s="73"/>
      <c r="L44" s="73"/>
      <c r="M44" s="73"/>
      <c r="N44" s="73"/>
      <c r="O44" s="72"/>
      <c r="P44" s="72">
        <v>600</v>
      </c>
      <c r="Q44" s="72">
        <v>0</v>
      </c>
      <c r="R44" s="72"/>
      <c r="S44" s="72"/>
      <c r="T44" s="72"/>
      <c r="U44" s="72"/>
      <c r="V44" s="73">
        <v>0</v>
      </c>
      <c r="W44" s="73">
        <v>0</v>
      </c>
      <c r="X44" s="73"/>
      <c r="Y44" s="73">
        <v>0</v>
      </c>
      <c r="Z44" s="73"/>
      <c r="AA44" s="73"/>
      <c r="AB44" s="73"/>
      <c r="AC44" s="73"/>
      <c r="AD44" s="73">
        <v>0</v>
      </c>
      <c r="AE44" s="73"/>
      <c r="AF44" s="73"/>
      <c r="AG44" s="73"/>
      <c r="AH44" s="73"/>
      <c r="AI44" s="73"/>
      <c r="AJ44" s="73"/>
      <c r="AK44" s="73">
        <v>100</v>
      </c>
      <c r="AL44" s="73">
        <v>100</v>
      </c>
      <c r="AM44" s="73">
        <v>0</v>
      </c>
      <c r="AN44" s="73">
        <v>0</v>
      </c>
      <c r="AO44" s="73"/>
      <c r="AP44" s="73">
        <v>0</v>
      </c>
      <c r="AQ44" s="73"/>
      <c r="AR44" s="73"/>
      <c r="AS44" s="73">
        <v>0</v>
      </c>
      <c r="AT44" s="73"/>
      <c r="AU44" s="73">
        <v>50</v>
      </c>
      <c r="AV44" s="73">
        <v>0</v>
      </c>
      <c r="AW44" s="73">
        <v>50</v>
      </c>
      <c r="AX44" s="73"/>
      <c r="AY44" s="73"/>
      <c r="AZ44" s="73">
        <v>50</v>
      </c>
      <c r="BA44" s="73"/>
      <c r="BB44" s="73">
        <v>50</v>
      </c>
      <c r="BC44" s="73">
        <v>0</v>
      </c>
      <c r="BD44" s="73"/>
      <c r="BE44" s="73"/>
      <c r="BF44" s="73"/>
      <c r="BG44" s="73"/>
      <c r="BH44" s="73"/>
      <c r="BI44" s="73">
        <v>0</v>
      </c>
      <c r="BJ44" s="73"/>
      <c r="BK44" s="72">
        <v>20</v>
      </c>
      <c r="BL44" s="72">
        <v>30</v>
      </c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4"/>
      <c r="CG44" s="72"/>
      <c r="CH44" s="87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4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4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>
        <v>1</v>
      </c>
      <c r="EK44" s="72">
        <v>0.5</v>
      </c>
      <c r="EL44" s="72">
        <v>0</v>
      </c>
      <c r="EM44" s="72">
        <v>0.25</v>
      </c>
      <c r="EN44" s="72"/>
      <c r="EO44" s="72">
        <v>0.25</v>
      </c>
      <c r="EP44" s="72"/>
      <c r="EQ44" s="72"/>
      <c r="ER44" s="74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>
        <f t="shared" si="17"/>
        <v>0</v>
      </c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7"/>
      <c r="IF44" s="78">
        <f t="shared" si="19"/>
        <v>0</v>
      </c>
      <c r="IG44" s="78">
        <f t="shared" si="20"/>
        <v>0</v>
      </c>
      <c r="IH44" s="78">
        <f t="shared" si="21"/>
        <v>0</v>
      </c>
      <c r="II44" s="78">
        <f t="shared" si="22"/>
        <v>0</v>
      </c>
      <c r="IJ44" s="78">
        <f t="shared" si="23"/>
        <v>0</v>
      </c>
      <c r="IK44" s="78">
        <f t="shared" si="18"/>
        <v>0</v>
      </c>
      <c r="IL44" s="78">
        <f t="shared" si="7"/>
        <v>0</v>
      </c>
      <c r="IM44" s="78">
        <f t="shared" si="8"/>
        <v>0</v>
      </c>
      <c r="IN44" s="79">
        <f t="shared" si="24"/>
        <v>1</v>
      </c>
      <c r="IO44" s="79">
        <f t="shared" si="25"/>
        <v>0.5</v>
      </c>
      <c r="IP44" s="79">
        <f t="shared" si="26"/>
        <v>0</v>
      </c>
      <c r="IQ44" s="79">
        <f t="shared" si="27"/>
        <v>0.25</v>
      </c>
      <c r="IR44" s="79">
        <f t="shared" si="28"/>
        <v>0</v>
      </c>
      <c r="IS44" s="79">
        <f t="shared" si="29"/>
        <v>0.25</v>
      </c>
      <c r="IT44" s="79">
        <f t="shared" si="30"/>
        <v>0</v>
      </c>
      <c r="IU44" s="79">
        <f t="shared" si="16"/>
        <v>0</v>
      </c>
      <c r="IV44" s="72">
        <v>9.1</v>
      </c>
      <c r="IW44" s="80">
        <v>1</v>
      </c>
      <c r="IX44" s="72"/>
    </row>
    <row r="45" spans="1:260" s="5" customFormat="1" ht="15.95" customHeight="1">
      <c r="A45" s="70">
        <v>39</v>
      </c>
      <c r="B45" s="71" t="s">
        <v>109</v>
      </c>
      <c r="C45" s="71" t="s">
        <v>101</v>
      </c>
      <c r="D45" s="71" t="s">
        <v>102</v>
      </c>
      <c r="E45" s="72">
        <v>74.599999999999994</v>
      </c>
      <c r="F45" s="72"/>
      <c r="G45" s="73">
        <v>0</v>
      </c>
      <c r="H45" s="72"/>
      <c r="I45" s="73">
        <v>0</v>
      </c>
      <c r="J45" s="73"/>
      <c r="K45" s="73"/>
      <c r="L45" s="73"/>
      <c r="M45" s="73"/>
      <c r="N45" s="73"/>
      <c r="O45" s="72"/>
      <c r="P45" s="72">
        <v>0</v>
      </c>
      <c r="Q45" s="72"/>
      <c r="R45" s="72"/>
      <c r="S45" s="72"/>
      <c r="T45" s="72"/>
      <c r="U45" s="72"/>
      <c r="V45" s="73">
        <v>0</v>
      </c>
      <c r="W45" s="73">
        <v>0</v>
      </c>
      <c r="X45" s="73"/>
      <c r="Y45" s="73">
        <v>0</v>
      </c>
      <c r="Z45" s="73"/>
      <c r="AA45" s="73"/>
      <c r="AB45" s="73"/>
      <c r="AC45" s="73"/>
      <c r="AD45" s="73">
        <v>0</v>
      </c>
      <c r="AE45" s="73"/>
      <c r="AF45" s="73"/>
      <c r="AG45" s="73"/>
      <c r="AH45" s="73"/>
      <c r="AI45" s="73"/>
      <c r="AJ45" s="73"/>
      <c r="AK45" s="73">
        <v>359</v>
      </c>
      <c r="AL45" s="73">
        <v>359</v>
      </c>
      <c r="AM45" s="73">
        <v>0</v>
      </c>
      <c r="AN45" s="73">
        <v>0</v>
      </c>
      <c r="AO45" s="73"/>
      <c r="AP45" s="73">
        <v>0</v>
      </c>
      <c r="AQ45" s="73"/>
      <c r="AR45" s="73"/>
      <c r="AS45" s="73">
        <v>359</v>
      </c>
      <c r="AT45" s="73"/>
      <c r="AU45" s="73">
        <v>0</v>
      </c>
      <c r="AV45" s="73"/>
      <c r="AW45" s="73"/>
      <c r="AX45" s="73"/>
      <c r="AY45" s="73"/>
      <c r="AZ45" s="73">
        <v>0</v>
      </c>
      <c r="BA45" s="73"/>
      <c r="BB45" s="73">
        <v>0</v>
      </c>
      <c r="BC45" s="73"/>
      <c r="BD45" s="73"/>
      <c r="BE45" s="73"/>
      <c r="BF45" s="73"/>
      <c r="BG45" s="73"/>
      <c r="BH45" s="73"/>
      <c r="BI45" s="73">
        <v>0</v>
      </c>
      <c r="BJ45" s="73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4"/>
      <c r="CG45" s="72"/>
      <c r="CH45" s="87"/>
      <c r="CI45" s="72"/>
      <c r="CJ45" s="72"/>
      <c r="CK45" s="72"/>
      <c r="CL45" s="72"/>
      <c r="CM45" s="72"/>
      <c r="CN45" s="72"/>
      <c r="CO45" s="72"/>
      <c r="CP45" s="72"/>
      <c r="CQ45" s="72">
        <v>8.1999999999999993</v>
      </c>
      <c r="CR45" s="72"/>
      <c r="CS45" s="72">
        <v>8.1999999999999993</v>
      </c>
      <c r="CT45" s="72">
        <v>0</v>
      </c>
      <c r="CU45" s="72"/>
      <c r="CV45" s="72"/>
      <c r="CW45" s="72"/>
      <c r="CX45" s="72"/>
      <c r="CY45" s="74"/>
      <c r="CZ45" s="72"/>
      <c r="DA45" s="72"/>
      <c r="DB45" s="72"/>
      <c r="DC45" s="72"/>
      <c r="DD45" s="72"/>
      <c r="DE45" s="72"/>
      <c r="DF45" s="72"/>
      <c r="DG45" s="72"/>
      <c r="DH45" s="72"/>
      <c r="DI45" s="72">
        <v>2</v>
      </c>
      <c r="DJ45" s="72">
        <v>12</v>
      </c>
      <c r="DK45" s="72"/>
      <c r="DL45" s="72">
        <v>12</v>
      </c>
      <c r="DM45" s="72">
        <v>0</v>
      </c>
      <c r="DN45" s="72"/>
      <c r="DO45" s="72"/>
      <c r="DP45" s="72"/>
      <c r="DQ45" s="72"/>
      <c r="DR45" s="74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4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>
        <f t="shared" si="17"/>
        <v>0</v>
      </c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7"/>
      <c r="IF45" s="78">
        <f t="shared" si="19"/>
        <v>0</v>
      </c>
      <c r="IG45" s="78">
        <f t="shared" si="20"/>
        <v>0</v>
      </c>
      <c r="IH45" s="78">
        <f t="shared" si="21"/>
        <v>0</v>
      </c>
      <c r="II45" s="78">
        <f t="shared" si="22"/>
        <v>0</v>
      </c>
      <c r="IJ45" s="78">
        <f t="shared" si="23"/>
        <v>0</v>
      </c>
      <c r="IK45" s="78">
        <f t="shared" si="18"/>
        <v>0</v>
      </c>
      <c r="IL45" s="78">
        <f t="shared" si="7"/>
        <v>0</v>
      </c>
      <c r="IM45" s="78">
        <f t="shared" si="8"/>
        <v>0</v>
      </c>
      <c r="IN45" s="79">
        <f t="shared" si="24"/>
        <v>8.1999999999999993</v>
      </c>
      <c r="IO45" s="79">
        <f t="shared" si="25"/>
        <v>0</v>
      </c>
      <c r="IP45" s="79">
        <f t="shared" si="26"/>
        <v>8.1999999999999993</v>
      </c>
      <c r="IQ45" s="79">
        <f t="shared" si="27"/>
        <v>0</v>
      </c>
      <c r="IR45" s="79">
        <f t="shared" si="28"/>
        <v>0</v>
      </c>
      <c r="IS45" s="79">
        <f t="shared" si="29"/>
        <v>0</v>
      </c>
      <c r="IT45" s="79">
        <f t="shared" si="30"/>
        <v>0</v>
      </c>
      <c r="IU45" s="79">
        <f t="shared" si="16"/>
        <v>0</v>
      </c>
      <c r="IV45" s="72">
        <v>15.3</v>
      </c>
      <c r="IW45" s="80">
        <v>1</v>
      </c>
      <c r="IX45" s="72"/>
    </row>
    <row r="46" spans="1:260" s="5" customFormat="1" ht="15.95" customHeight="1">
      <c r="A46" s="70">
        <v>40</v>
      </c>
      <c r="B46" s="71" t="s">
        <v>110</v>
      </c>
      <c r="C46" s="71" t="s">
        <v>101</v>
      </c>
      <c r="D46" s="71" t="s">
        <v>111</v>
      </c>
      <c r="E46" s="72">
        <v>32.1</v>
      </c>
      <c r="F46" s="72"/>
      <c r="G46" s="73">
        <v>400</v>
      </c>
      <c r="H46" s="72"/>
      <c r="I46" s="73">
        <v>400</v>
      </c>
      <c r="J46" s="73">
        <v>0</v>
      </c>
      <c r="K46" s="73"/>
      <c r="L46" s="73"/>
      <c r="M46" s="73"/>
      <c r="N46" s="73"/>
      <c r="O46" s="72"/>
      <c r="P46" s="72">
        <v>400</v>
      </c>
      <c r="Q46" s="72">
        <v>0</v>
      </c>
      <c r="R46" s="72"/>
      <c r="S46" s="72"/>
      <c r="T46" s="72"/>
      <c r="U46" s="72"/>
      <c r="V46" s="73">
        <v>0</v>
      </c>
      <c r="W46" s="73">
        <v>0</v>
      </c>
      <c r="X46" s="73"/>
      <c r="Y46" s="73">
        <v>0</v>
      </c>
      <c r="Z46" s="73"/>
      <c r="AA46" s="73"/>
      <c r="AB46" s="73"/>
      <c r="AC46" s="73"/>
      <c r="AD46" s="73">
        <v>0</v>
      </c>
      <c r="AE46" s="73"/>
      <c r="AF46" s="73"/>
      <c r="AG46" s="73"/>
      <c r="AH46" s="73"/>
      <c r="AI46" s="73"/>
      <c r="AJ46" s="73"/>
      <c r="AK46" s="73">
        <v>250</v>
      </c>
      <c r="AL46" s="73">
        <v>150</v>
      </c>
      <c r="AM46" s="73">
        <v>0</v>
      </c>
      <c r="AN46" s="73">
        <v>0</v>
      </c>
      <c r="AO46" s="73">
        <v>100</v>
      </c>
      <c r="AP46" s="73">
        <v>0</v>
      </c>
      <c r="AQ46" s="73"/>
      <c r="AR46" s="73"/>
      <c r="AS46" s="73">
        <v>0</v>
      </c>
      <c r="AT46" s="73"/>
      <c r="AU46" s="73">
        <v>100</v>
      </c>
      <c r="AV46" s="73">
        <v>100</v>
      </c>
      <c r="AW46" s="73">
        <v>50</v>
      </c>
      <c r="AX46" s="73"/>
      <c r="AY46" s="73"/>
      <c r="AZ46" s="73">
        <v>0</v>
      </c>
      <c r="BA46" s="73"/>
      <c r="BB46" s="73">
        <v>0</v>
      </c>
      <c r="BC46" s="73"/>
      <c r="BD46" s="73"/>
      <c r="BE46" s="73"/>
      <c r="BF46" s="73"/>
      <c r="BG46" s="73"/>
      <c r="BH46" s="73"/>
      <c r="BI46" s="73">
        <v>0</v>
      </c>
      <c r="BJ46" s="73"/>
      <c r="BK46" s="72"/>
      <c r="BL46" s="72"/>
      <c r="BM46" s="72"/>
      <c r="BN46" s="72"/>
      <c r="BO46" s="72">
        <v>0</v>
      </c>
      <c r="BP46" s="72">
        <v>0</v>
      </c>
      <c r="BQ46" s="72"/>
      <c r="BR46" s="72"/>
      <c r="BS46" s="72"/>
      <c r="BT46" s="72"/>
      <c r="BU46" s="72"/>
      <c r="BV46" s="72"/>
      <c r="BW46" s="72"/>
      <c r="BX46" s="72">
        <v>0</v>
      </c>
      <c r="BY46" s="72">
        <v>0</v>
      </c>
      <c r="BZ46" s="72"/>
      <c r="CA46" s="72"/>
      <c r="CB46" s="72"/>
      <c r="CC46" s="72"/>
      <c r="CD46" s="72"/>
      <c r="CE46" s="72"/>
      <c r="CF46" s="74"/>
      <c r="CG46" s="72">
        <v>1</v>
      </c>
      <c r="CH46" s="87"/>
      <c r="CI46" s="72"/>
      <c r="CJ46" s="72">
        <v>0</v>
      </c>
      <c r="CK46" s="72">
        <v>0.5</v>
      </c>
      <c r="CL46" s="72">
        <v>0.5</v>
      </c>
      <c r="CM46" s="72"/>
      <c r="CN46" s="72"/>
      <c r="CO46" s="72"/>
      <c r="CP46" s="72"/>
      <c r="CQ46" s="72">
        <v>12.6</v>
      </c>
      <c r="CR46" s="72"/>
      <c r="CS46" s="72">
        <v>0</v>
      </c>
      <c r="CT46" s="72">
        <v>5.0999999999999996</v>
      </c>
      <c r="CU46" s="72">
        <v>2</v>
      </c>
      <c r="CV46" s="72">
        <v>5.5</v>
      </c>
      <c r="CW46" s="72"/>
      <c r="CX46" s="72"/>
      <c r="CY46" s="74"/>
      <c r="CZ46" s="72">
        <v>300</v>
      </c>
      <c r="DA46" s="72">
        <v>0</v>
      </c>
      <c r="DB46" s="72">
        <v>0</v>
      </c>
      <c r="DC46" s="72">
        <v>100</v>
      </c>
      <c r="DD46" s="72">
        <v>0</v>
      </c>
      <c r="DE46" s="72">
        <v>200</v>
      </c>
      <c r="DF46" s="72"/>
      <c r="DG46" s="72"/>
      <c r="DH46" s="72"/>
      <c r="DI46" s="72">
        <v>4</v>
      </c>
      <c r="DJ46" s="72">
        <v>12</v>
      </c>
      <c r="DK46" s="72"/>
      <c r="DL46" s="72">
        <v>0</v>
      </c>
      <c r="DM46" s="72">
        <v>7</v>
      </c>
      <c r="DN46" s="72">
        <v>0</v>
      </c>
      <c r="DO46" s="72">
        <v>5</v>
      </c>
      <c r="DP46" s="72"/>
      <c r="DQ46" s="72"/>
      <c r="DR46" s="74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4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>
        <v>1</v>
      </c>
      <c r="FG46" s="72"/>
      <c r="FH46" s="72"/>
      <c r="FI46" s="72"/>
      <c r="FJ46" s="72"/>
      <c r="FK46" s="72">
        <v>200</v>
      </c>
      <c r="FL46" s="72">
        <v>0</v>
      </c>
      <c r="FM46" s="72">
        <v>0</v>
      </c>
      <c r="FN46" s="72">
        <v>0</v>
      </c>
      <c r="FO46" s="72"/>
      <c r="FP46" s="72">
        <v>200</v>
      </c>
      <c r="FQ46" s="72"/>
      <c r="FR46" s="72"/>
      <c r="FS46" s="72">
        <f t="shared" si="17"/>
        <v>0</v>
      </c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>
        <v>1</v>
      </c>
      <c r="HM46" s="72">
        <v>0</v>
      </c>
      <c r="HN46" s="72"/>
      <c r="HO46" s="72">
        <v>1</v>
      </c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7"/>
      <c r="IF46" s="78">
        <f t="shared" si="19"/>
        <v>1</v>
      </c>
      <c r="IG46" s="78">
        <f t="shared" si="20"/>
        <v>0</v>
      </c>
      <c r="IH46" s="78">
        <f t="shared" si="21"/>
        <v>0</v>
      </c>
      <c r="II46" s="78">
        <f t="shared" si="22"/>
        <v>0</v>
      </c>
      <c r="IJ46" s="78">
        <f t="shared" si="23"/>
        <v>0.5</v>
      </c>
      <c r="IK46" s="78">
        <f t="shared" si="18"/>
        <v>0.5</v>
      </c>
      <c r="IL46" s="78">
        <f t="shared" si="7"/>
        <v>0</v>
      </c>
      <c r="IM46" s="78">
        <f t="shared" si="8"/>
        <v>0</v>
      </c>
      <c r="IN46" s="79">
        <f t="shared" si="24"/>
        <v>12.6</v>
      </c>
      <c r="IO46" s="79">
        <f t="shared" si="25"/>
        <v>0</v>
      </c>
      <c r="IP46" s="79">
        <f t="shared" si="26"/>
        <v>0</v>
      </c>
      <c r="IQ46" s="79">
        <f t="shared" si="27"/>
        <v>5.0999999999999996</v>
      </c>
      <c r="IR46" s="79">
        <f t="shared" si="28"/>
        <v>2</v>
      </c>
      <c r="IS46" s="79">
        <f t="shared" si="29"/>
        <v>5.5</v>
      </c>
      <c r="IT46" s="79">
        <f t="shared" si="30"/>
        <v>0</v>
      </c>
      <c r="IU46" s="79">
        <f t="shared" si="16"/>
        <v>0</v>
      </c>
      <c r="IV46" s="72">
        <v>10.1</v>
      </c>
      <c r="IW46" s="80">
        <v>1</v>
      </c>
      <c r="IX46" s="72"/>
    </row>
    <row r="47" spans="1:260" s="5" customFormat="1" ht="15.95" customHeight="1">
      <c r="A47" s="81">
        <v>41</v>
      </c>
      <c r="B47" s="71" t="s">
        <v>112</v>
      </c>
      <c r="C47" s="71" t="s">
        <v>101</v>
      </c>
      <c r="D47" s="71" t="s">
        <v>102</v>
      </c>
      <c r="E47" s="72">
        <v>21.7</v>
      </c>
      <c r="F47" s="72"/>
      <c r="G47" s="73">
        <v>550</v>
      </c>
      <c r="H47" s="72"/>
      <c r="I47" s="73">
        <v>550</v>
      </c>
      <c r="J47" s="73">
        <v>0</v>
      </c>
      <c r="K47" s="73"/>
      <c r="L47" s="73"/>
      <c r="M47" s="73"/>
      <c r="N47" s="73"/>
      <c r="O47" s="72"/>
      <c r="P47" s="72">
        <v>550</v>
      </c>
      <c r="Q47" s="72">
        <v>0</v>
      </c>
      <c r="R47" s="72"/>
      <c r="S47" s="72"/>
      <c r="T47" s="72"/>
      <c r="U47" s="72"/>
      <c r="V47" s="73">
        <v>0</v>
      </c>
      <c r="W47" s="73">
        <v>0</v>
      </c>
      <c r="X47" s="73"/>
      <c r="Y47" s="73">
        <v>0</v>
      </c>
      <c r="Z47" s="73"/>
      <c r="AA47" s="73"/>
      <c r="AB47" s="73"/>
      <c r="AC47" s="73"/>
      <c r="AD47" s="73">
        <v>0</v>
      </c>
      <c r="AE47" s="73"/>
      <c r="AF47" s="73"/>
      <c r="AG47" s="73"/>
      <c r="AH47" s="73"/>
      <c r="AI47" s="73"/>
      <c r="AJ47" s="73"/>
      <c r="AK47" s="73">
        <v>245</v>
      </c>
      <c r="AL47" s="73">
        <v>245</v>
      </c>
      <c r="AM47" s="73">
        <v>0</v>
      </c>
      <c r="AN47" s="73">
        <v>0</v>
      </c>
      <c r="AO47" s="73"/>
      <c r="AP47" s="73">
        <v>0</v>
      </c>
      <c r="AQ47" s="73"/>
      <c r="AR47" s="73"/>
      <c r="AS47" s="73">
        <v>145</v>
      </c>
      <c r="AT47" s="73"/>
      <c r="AU47" s="73">
        <v>0</v>
      </c>
      <c r="AV47" s="73">
        <v>100</v>
      </c>
      <c r="AW47" s="73"/>
      <c r="AX47" s="73"/>
      <c r="AY47" s="73"/>
      <c r="AZ47" s="73">
        <v>0</v>
      </c>
      <c r="BA47" s="73"/>
      <c r="BB47" s="73">
        <v>0</v>
      </c>
      <c r="BC47" s="73"/>
      <c r="BD47" s="73"/>
      <c r="BE47" s="73"/>
      <c r="BF47" s="73"/>
      <c r="BG47" s="73"/>
      <c r="BH47" s="73"/>
      <c r="BI47" s="73">
        <v>0</v>
      </c>
      <c r="BJ47" s="73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4"/>
      <c r="CG47" s="72"/>
      <c r="CH47" s="87"/>
      <c r="CI47" s="72"/>
      <c r="CJ47" s="72"/>
      <c r="CK47" s="72"/>
      <c r="CL47" s="72"/>
      <c r="CM47" s="72"/>
      <c r="CN47" s="72"/>
      <c r="CO47" s="72"/>
      <c r="CP47" s="72"/>
      <c r="CQ47" s="72">
        <v>4.3</v>
      </c>
      <c r="CR47" s="72"/>
      <c r="CS47" s="72">
        <v>2</v>
      </c>
      <c r="CT47" s="72">
        <v>2.2999999999999998</v>
      </c>
      <c r="CU47" s="72">
        <v>0</v>
      </c>
      <c r="CV47" s="72"/>
      <c r="CW47" s="72"/>
      <c r="CX47" s="72"/>
      <c r="CY47" s="74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4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>
        <v>1</v>
      </c>
      <c r="EK47" s="72">
        <v>0</v>
      </c>
      <c r="EL47" s="72">
        <v>1</v>
      </c>
      <c r="EM47" s="72">
        <v>0</v>
      </c>
      <c r="EN47" s="72"/>
      <c r="EO47" s="72"/>
      <c r="EP47" s="72"/>
      <c r="EQ47" s="72"/>
      <c r="ER47" s="74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>
        <f t="shared" si="17"/>
        <v>0</v>
      </c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>
        <v>1</v>
      </c>
      <c r="HV47" s="72">
        <v>0</v>
      </c>
      <c r="HW47" s="72">
        <v>0</v>
      </c>
      <c r="HX47" s="72">
        <v>1</v>
      </c>
      <c r="HY47" s="72"/>
      <c r="HZ47" s="72"/>
      <c r="IA47" s="72"/>
      <c r="IB47" s="72"/>
      <c r="IC47" s="72"/>
      <c r="ID47" s="72">
        <v>1</v>
      </c>
      <c r="IE47" s="77"/>
      <c r="IF47" s="78">
        <f t="shared" si="19"/>
        <v>0</v>
      </c>
      <c r="IG47" s="78">
        <f t="shared" si="20"/>
        <v>0</v>
      </c>
      <c r="IH47" s="78">
        <f t="shared" si="21"/>
        <v>0</v>
      </c>
      <c r="II47" s="78">
        <f t="shared" si="22"/>
        <v>0</v>
      </c>
      <c r="IJ47" s="78">
        <f t="shared" si="23"/>
        <v>0</v>
      </c>
      <c r="IK47" s="78">
        <f t="shared" si="18"/>
        <v>0</v>
      </c>
      <c r="IL47" s="78">
        <f t="shared" si="7"/>
        <v>0</v>
      </c>
      <c r="IM47" s="78">
        <f t="shared" si="8"/>
        <v>0</v>
      </c>
      <c r="IN47" s="79">
        <f t="shared" si="24"/>
        <v>5.3</v>
      </c>
      <c r="IO47" s="79">
        <f t="shared" si="25"/>
        <v>0</v>
      </c>
      <c r="IP47" s="79">
        <f t="shared" si="26"/>
        <v>3</v>
      </c>
      <c r="IQ47" s="79">
        <f t="shared" si="27"/>
        <v>2.2999999999999998</v>
      </c>
      <c r="IR47" s="79">
        <f t="shared" si="28"/>
        <v>0</v>
      </c>
      <c r="IS47" s="79">
        <f t="shared" si="29"/>
        <v>0</v>
      </c>
      <c r="IT47" s="79">
        <f t="shared" si="30"/>
        <v>0</v>
      </c>
      <c r="IU47" s="79">
        <f t="shared" si="16"/>
        <v>0</v>
      </c>
      <c r="IV47" s="72">
        <v>4.0999999999999996</v>
      </c>
      <c r="IW47" s="80">
        <v>1</v>
      </c>
      <c r="IX47" s="72"/>
    </row>
    <row r="48" spans="1:260" s="5" customFormat="1" ht="15.95" customHeight="1">
      <c r="A48" s="70">
        <v>42</v>
      </c>
      <c r="B48" s="71" t="s">
        <v>113</v>
      </c>
      <c r="C48" s="71" t="s">
        <v>101</v>
      </c>
      <c r="D48" s="71" t="s">
        <v>102</v>
      </c>
      <c r="E48" s="72">
        <v>22</v>
      </c>
      <c r="F48" s="72"/>
      <c r="G48" s="73">
        <v>0</v>
      </c>
      <c r="H48" s="72"/>
      <c r="I48" s="73">
        <v>0</v>
      </c>
      <c r="J48" s="73"/>
      <c r="K48" s="73"/>
      <c r="L48" s="73"/>
      <c r="M48" s="73"/>
      <c r="N48" s="73"/>
      <c r="O48" s="72"/>
      <c r="P48" s="72">
        <v>0</v>
      </c>
      <c r="Q48" s="72"/>
      <c r="R48" s="72"/>
      <c r="S48" s="72"/>
      <c r="T48" s="72"/>
      <c r="U48" s="72"/>
      <c r="V48" s="73">
        <v>0</v>
      </c>
      <c r="W48" s="73">
        <v>0</v>
      </c>
      <c r="X48" s="73"/>
      <c r="Y48" s="73">
        <v>0</v>
      </c>
      <c r="Z48" s="73"/>
      <c r="AA48" s="73"/>
      <c r="AB48" s="73"/>
      <c r="AC48" s="73"/>
      <c r="AD48" s="73">
        <v>0</v>
      </c>
      <c r="AE48" s="73"/>
      <c r="AF48" s="73"/>
      <c r="AG48" s="73"/>
      <c r="AH48" s="73"/>
      <c r="AI48" s="73"/>
      <c r="AJ48" s="73"/>
      <c r="AK48" s="73">
        <v>100</v>
      </c>
      <c r="AL48" s="73">
        <v>100</v>
      </c>
      <c r="AM48" s="73">
        <v>0</v>
      </c>
      <c r="AN48" s="73">
        <v>0</v>
      </c>
      <c r="AO48" s="73"/>
      <c r="AP48" s="73">
        <v>0</v>
      </c>
      <c r="AQ48" s="73"/>
      <c r="AR48" s="73"/>
      <c r="AS48" s="73">
        <v>100</v>
      </c>
      <c r="AT48" s="73"/>
      <c r="AU48" s="73">
        <v>0</v>
      </c>
      <c r="AV48" s="73"/>
      <c r="AW48" s="73"/>
      <c r="AX48" s="73"/>
      <c r="AY48" s="73"/>
      <c r="AZ48" s="73">
        <v>25</v>
      </c>
      <c r="BA48" s="73"/>
      <c r="BB48" s="73">
        <v>25</v>
      </c>
      <c r="BC48" s="73">
        <v>0</v>
      </c>
      <c r="BD48" s="73"/>
      <c r="BE48" s="73"/>
      <c r="BF48" s="73"/>
      <c r="BG48" s="73"/>
      <c r="BH48" s="73"/>
      <c r="BI48" s="73">
        <v>25</v>
      </c>
      <c r="BJ48" s="73">
        <v>0</v>
      </c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4"/>
      <c r="CG48" s="72"/>
      <c r="CH48" s="87"/>
      <c r="CI48" s="72"/>
      <c r="CJ48" s="72"/>
      <c r="CK48" s="72"/>
      <c r="CL48" s="72"/>
      <c r="CM48" s="72"/>
      <c r="CN48" s="72"/>
      <c r="CO48" s="72"/>
      <c r="CP48" s="72"/>
      <c r="CQ48" s="72">
        <v>6.5</v>
      </c>
      <c r="CR48" s="72"/>
      <c r="CS48" s="72">
        <v>6.5</v>
      </c>
      <c r="CT48" s="72">
        <v>0</v>
      </c>
      <c r="CU48" s="72">
        <v>0</v>
      </c>
      <c r="CV48" s="72"/>
      <c r="CW48" s="72"/>
      <c r="CX48" s="72"/>
      <c r="CY48" s="74"/>
      <c r="CZ48" s="72"/>
      <c r="DA48" s="72"/>
      <c r="DB48" s="72"/>
      <c r="DC48" s="72"/>
      <c r="DD48" s="72"/>
      <c r="DE48" s="72"/>
      <c r="DF48" s="72"/>
      <c r="DG48" s="72"/>
      <c r="DH48" s="72"/>
      <c r="DI48" s="72">
        <v>2</v>
      </c>
      <c r="DJ48" s="72">
        <v>8</v>
      </c>
      <c r="DK48" s="72"/>
      <c r="DL48" s="72">
        <v>8</v>
      </c>
      <c r="DM48" s="72">
        <v>0</v>
      </c>
      <c r="DN48" s="72">
        <v>0</v>
      </c>
      <c r="DO48" s="72"/>
      <c r="DP48" s="72"/>
      <c r="DQ48" s="72"/>
      <c r="DR48" s="74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4"/>
      <c r="ES48" s="72"/>
      <c r="ET48" s="72"/>
      <c r="EU48" s="72"/>
      <c r="EV48" s="72"/>
      <c r="EW48" s="72"/>
      <c r="EX48" s="72"/>
      <c r="EY48" s="72"/>
      <c r="EZ48" s="72"/>
      <c r="FA48" s="72"/>
      <c r="FB48" s="72">
        <v>1</v>
      </c>
      <c r="FC48" s="72">
        <v>1</v>
      </c>
      <c r="FD48" s="72"/>
      <c r="FE48" s="72">
        <v>0</v>
      </c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>
        <f t="shared" si="17"/>
        <v>0</v>
      </c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>
        <v>1</v>
      </c>
      <c r="HV48" s="72">
        <v>0</v>
      </c>
      <c r="HW48" s="72"/>
      <c r="HX48" s="72">
        <v>1</v>
      </c>
      <c r="HY48" s="72"/>
      <c r="HZ48" s="72"/>
      <c r="IA48" s="72"/>
      <c r="IB48" s="72"/>
      <c r="IC48" s="72"/>
      <c r="ID48" s="72">
        <v>1</v>
      </c>
      <c r="IE48" s="77"/>
      <c r="IF48" s="78">
        <f t="shared" si="19"/>
        <v>0</v>
      </c>
      <c r="IG48" s="78">
        <f t="shared" si="20"/>
        <v>0</v>
      </c>
      <c r="IH48" s="78">
        <f t="shared" si="21"/>
        <v>0</v>
      </c>
      <c r="II48" s="78">
        <f t="shared" si="22"/>
        <v>0</v>
      </c>
      <c r="IJ48" s="78">
        <f t="shared" si="23"/>
        <v>0</v>
      </c>
      <c r="IK48" s="78">
        <f t="shared" si="18"/>
        <v>0</v>
      </c>
      <c r="IL48" s="78">
        <f t="shared" si="7"/>
        <v>0</v>
      </c>
      <c r="IM48" s="78">
        <f t="shared" si="8"/>
        <v>0</v>
      </c>
      <c r="IN48" s="79">
        <f t="shared" si="24"/>
        <v>6.5</v>
      </c>
      <c r="IO48" s="79">
        <f t="shared" si="25"/>
        <v>0</v>
      </c>
      <c r="IP48" s="79">
        <f t="shared" si="26"/>
        <v>6.5</v>
      </c>
      <c r="IQ48" s="79">
        <f t="shared" si="27"/>
        <v>0</v>
      </c>
      <c r="IR48" s="79">
        <f t="shared" si="28"/>
        <v>0</v>
      </c>
      <c r="IS48" s="79">
        <f t="shared" si="29"/>
        <v>0</v>
      </c>
      <c r="IT48" s="79">
        <f t="shared" si="30"/>
        <v>0</v>
      </c>
      <c r="IU48" s="79">
        <f t="shared" si="16"/>
        <v>0</v>
      </c>
      <c r="IV48" s="72">
        <v>1.9</v>
      </c>
      <c r="IW48" s="80">
        <v>1</v>
      </c>
      <c r="IX48" s="72"/>
    </row>
    <row r="49" spans="1:258" s="5" customFormat="1" ht="15.95" customHeight="1">
      <c r="A49" s="70">
        <v>43</v>
      </c>
      <c r="B49" s="71" t="s">
        <v>114</v>
      </c>
      <c r="C49" s="71" t="s">
        <v>101</v>
      </c>
      <c r="D49" s="71" t="s">
        <v>115</v>
      </c>
      <c r="E49" s="72">
        <v>6.9</v>
      </c>
      <c r="F49" s="72"/>
      <c r="G49" s="73">
        <v>100</v>
      </c>
      <c r="H49" s="72"/>
      <c r="I49" s="73">
        <v>100</v>
      </c>
      <c r="J49" s="73">
        <v>0</v>
      </c>
      <c r="K49" s="73"/>
      <c r="L49" s="73"/>
      <c r="M49" s="73"/>
      <c r="N49" s="73"/>
      <c r="O49" s="72"/>
      <c r="P49" s="72">
        <v>100</v>
      </c>
      <c r="Q49" s="72"/>
      <c r="R49" s="72"/>
      <c r="S49" s="72"/>
      <c r="T49" s="72"/>
      <c r="U49" s="72"/>
      <c r="V49" s="73">
        <v>0</v>
      </c>
      <c r="W49" s="73">
        <v>0</v>
      </c>
      <c r="X49" s="73"/>
      <c r="Y49" s="73">
        <v>0</v>
      </c>
      <c r="Z49" s="73"/>
      <c r="AA49" s="73"/>
      <c r="AB49" s="73"/>
      <c r="AC49" s="73"/>
      <c r="AD49" s="73">
        <v>0</v>
      </c>
      <c r="AE49" s="73"/>
      <c r="AF49" s="73"/>
      <c r="AG49" s="73"/>
      <c r="AH49" s="73"/>
      <c r="AI49" s="73"/>
      <c r="AJ49" s="73"/>
      <c r="AK49" s="73">
        <v>299</v>
      </c>
      <c r="AL49" s="73">
        <v>296</v>
      </c>
      <c r="AM49" s="73">
        <v>0</v>
      </c>
      <c r="AN49" s="73">
        <v>0</v>
      </c>
      <c r="AO49" s="73">
        <v>3</v>
      </c>
      <c r="AP49" s="73">
        <v>0</v>
      </c>
      <c r="AQ49" s="73"/>
      <c r="AR49" s="73"/>
      <c r="AS49" s="73">
        <v>100</v>
      </c>
      <c r="AT49" s="73"/>
      <c r="AU49" s="73">
        <v>0</v>
      </c>
      <c r="AV49" s="73"/>
      <c r="AW49" s="73">
        <v>199</v>
      </c>
      <c r="AX49" s="73"/>
      <c r="AY49" s="73"/>
      <c r="AZ49" s="73">
        <v>23</v>
      </c>
      <c r="BA49" s="73"/>
      <c r="BB49" s="73">
        <v>23</v>
      </c>
      <c r="BC49" s="73">
        <v>0</v>
      </c>
      <c r="BD49" s="73"/>
      <c r="BE49" s="73"/>
      <c r="BF49" s="73"/>
      <c r="BG49" s="73"/>
      <c r="BH49" s="73"/>
      <c r="BI49" s="73">
        <v>23</v>
      </c>
      <c r="BJ49" s="73">
        <v>0</v>
      </c>
      <c r="BK49" s="72"/>
      <c r="BL49" s="72"/>
      <c r="BM49" s="72"/>
      <c r="BN49" s="72"/>
      <c r="BO49" s="72">
        <v>1</v>
      </c>
      <c r="BP49" s="72">
        <v>0</v>
      </c>
      <c r="BQ49" s="72">
        <v>0</v>
      </c>
      <c r="BR49" s="72"/>
      <c r="BS49" s="72"/>
      <c r="BT49" s="72">
        <v>1</v>
      </c>
      <c r="BU49" s="72"/>
      <c r="BV49" s="72"/>
      <c r="BW49" s="72"/>
      <c r="BX49" s="72">
        <v>7.0000000000000007E-2</v>
      </c>
      <c r="BY49" s="72">
        <v>0</v>
      </c>
      <c r="BZ49" s="72">
        <v>0</v>
      </c>
      <c r="CA49" s="72">
        <v>0</v>
      </c>
      <c r="CB49" s="72"/>
      <c r="CC49" s="72">
        <v>7.0000000000000007E-2</v>
      </c>
      <c r="CD49" s="72"/>
      <c r="CE49" s="72"/>
      <c r="CF49" s="74"/>
      <c r="CG49" s="72"/>
      <c r="CH49" s="87"/>
      <c r="CI49" s="72"/>
      <c r="CJ49" s="72"/>
      <c r="CK49" s="72"/>
      <c r="CL49" s="72"/>
      <c r="CM49" s="72"/>
      <c r="CN49" s="72"/>
      <c r="CO49" s="72"/>
      <c r="CP49" s="72"/>
      <c r="CQ49" s="72">
        <v>3.1</v>
      </c>
      <c r="CR49" s="72"/>
      <c r="CS49" s="72">
        <v>1.5</v>
      </c>
      <c r="CT49" s="72">
        <v>0</v>
      </c>
      <c r="CU49" s="72">
        <v>1.3</v>
      </c>
      <c r="CV49" s="72">
        <v>0.3</v>
      </c>
      <c r="CW49" s="72"/>
      <c r="CX49" s="72"/>
      <c r="CY49" s="74"/>
      <c r="CZ49" s="72">
        <v>1000</v>
      </c>
      <c r="DA49" s="72">
        <v>0</v>
      </c>
      <c r="DB49" s="72">
        <v>650</v>
      </c>
      <c r="DC49" s="72"/>
      <c r="DD49" s="72">
        <v>100</v>
      </c>
      <c r="DE49" s="72">
        <v>250</v>
      </c>
      <c r="DF49" s="72"/>
      <c r="DG49" s="72"/>
      <c r="DH49" s="72"/>
      <c r="DI49" s="72">
        <v>1</v>
      </c>
      <c r="DJ49" s="72">
        <v>14</v>
      </c>
      <c r="DK49" s="72"/>
      <c r="DL49" s="72">
        <v>0</v>
      </c>
      <c r="DM49" s="72"/>
      <c r="DN49" s="72">
        <v>10</v>
      </c>
      <c r="DO49" s="72">
        <v>4</v>
      </c>
      <c r="DP49" s="72"/>
      <c r="DQ49" s="72"/>
      <c r="DR49" s="74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>
        <v>0.3</v>
      </c>
      <c r="EK49" s="72">
        <v>0.3</v>
      </c>
      <c r="EL49" s="72"/>
      <c r="EM49" s="72">
        <v>0</v>
      </c>
      <c r="EN49" s="72"/>
      <c r="EO49" s="72"/>
      <c r="EP49" s="72"/>
      <c r="EQ49" s="72"/>
      <c r="ER49" s="74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>
        <f t="shared" si="17"/>
        <v>0</v>
      </c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>
        <v>1</v>
      </c>
      <c r="HM49" s="72">
        <v>0</v>
      </c>
      <c r="HN49" s="72">
        <v>0</v>
      </c>
      <c r="HO49" s="72">
        <v>0</v>
      </c>
      <c r="HP49" s="72">
        <v>0.5</v>
      </c>
      <c r="HQ49" s="72">
        <v>0.5</v>
      </c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7"/>
      <c r="IF49" s="78">
        <f t="shared" si="19"/>
        <v>7.0000000000000007E-2</v>
      </c>
      <c r="IG49" s="78">
        <f t="shared" si="20"/>
        <v>0</v>
      </c>
      <c r="IH49" s="78">
        <f t="shared" si="21"/>
        <v>0</v>
      </c>
      <c r="II49" s="78">
        <f t="shared" si="22"/>
        <v>0</v>
      </c>
      <c r="IJ49" s="78">
        <f t="shared" si="23"/>
        <v>0</v>
      </c>
      <c r="IK49" s="78">
        <f t="shared" si="18"/>
        <v>7.0000000000000007E-2</v>
      </c>
      <c r="IL49" s="78">
        <f t="shared" si="7"/>
        <v>0</v>
      </c>
      <c r="IM49" s="78">
        <f t="shared" si="8"/>
        <v>0</v>
      </c>
      <c r="IN49" s="79">
        <f t="shared" si="24"/>
        <v>3.4</v>
      </c>
      <c r="IO49" s="79">
        <f t="shared" si="25"/>
        <v>0.3</v>
      </c>
      <c r="IP49" s="79">
        <f t="shared" si="26"/>
        <v>1.5</v>
      </c>
      <c r="IQ49" s="79">
        <f t="shared" si="27"/>
        <v>0</v>
      </c>
      <c r="IR49" s="79">
        <f t="shared" si="28"/>
        <v>1.3</v>
      </c>
      <c r="IS49" s="79">
        <f t="shared" si="29"/>
        <v>0.3</v>
      </c>
      <c r="IT49" s="79">
        <f t="shared" si="30"/>
        <v>0</v>
      </c>
      <c r="IU49" s="79">
        <f t="shared" si="16"/>
        <v>0</v>
      </c>
      <c r="IV49" s="72">
        <v>0.2</v>
      </c>
      <c r="IW49" s="80">
        <v>1</v>
      </c>
      <c r="IX49" s="72"/>
    </row>
    <row r="50" spans="1:258" s="5" customFormat="1" ht="15.95" customHeight="1">
      <c r="A50" s="70">
        <v>44</v>
      </c>
      <c r="B50" s="71" t="s">
        <v>116</v>
      </c>
      <c r="C50" s="71" t="s">
        <v>101</v>
      </c>
      <c r="D50" s="71" t="s">
        <v>115</v>
      </c>
      <c r="E50" s="72">
        <v>15.2</v>
      </c>
      <c r="F50" s="72"/>
      <c r="G50" s="73">
        <v>0</v>
      </c>
      <c r="H50" s="72"/>
      <c r="I50" s="73">
        <v>0</v>
      </c>
      <c r="J50" s="73"/>
      <c r="K50" s="73"/>
      <c r="L50" s="73"/>
      <c r="M50" s="73"/>
      <c r="N50" s="73"/>
      <c r="O50" s="72"/>
      <c r="P50" s="72">
        <v>0</v>
      </c>
      <c r="Q50" s="72"/>
      <c r="R50" s="72"/>
      <c r="S50" s="72"/>
      <c r="T50" s="72"/>
      <c r="U50" s="72"/>
      <c r="V50" s="73">
        <v>0</v>
      </c>
      <c r="W50" s="73">
        <v>0</v>
      </c>
      <c r="X50" s="73"/>
      <c r="Y50" s="73">
        <v>0</v>
      </c>
      <c r="Z50" s="73"/>
      <c r="AA50" s="73"/>
      <c r="AB50" s="73"/>
      <c r="AC50" s="73"/>
      <c r="AD50" s="73">
        <v>0</v>
      </c>
      <c r="AE50" s="73"/>
      <c r="AF50" s="73"/>
      <c r="AG50" s="73"/>
      <c r="AH50" s="73"/>
      <c r="AI50" s="73"/>
      <c r="AJ50" s="73"/>
      <c r="AK50" s="73">
        <v>550</v>
      </c>
      <c r="AL50" s="73">
        <v>550</v>
      </c>
      <c r="AM50" s="73">
        <v>0</v>
      </c>
      <c r="AN50" s="73">
        <v>0</v>
      </c>
      <c r="AO50" s="73"/>
      <c r="AP50" s="73">
        <v>0</v>
      </c>
      <c r="AQ50" s="73"/>
      <c r="AR50" s="73"/>
      <c r="AS50" s="73">
        <v>150</v>
      </c>
      <c r="AT50" s="73"/>
      <c r="AU50" s="73">
        <v>400</v>
      </c>
      <c r="AV50" s="73">
        <v>0</v>
      </c>
      <c r="AW50" s="73"/>
      <c r="AX50" s="73"/>
      <c r="AY50" s="73"/>
      <c r="AZ50" s="73">
        <v>120</v>
      </c>
      <c r="BA50" s="73"/>
      <c r="BB50" s="73">
        <v>120</v>
      </c>
      <c r="BC50" s="73">
        <v>0</v>
      </c>
      <c r="BD50" s="73"/>
      <c r="BE50" s="73"/>
      <c r="BF50" s="73"/>
      <c r="BG50" s="73"/>
      <c r="BH50" s="73"/>
      <c r="BI50" s="73">
        <v>120</v>
      </c>
      <c r="BJ50" s="73">
        <v>0</v>
      </c>
      <c r="BK50" s="72">
        <v>0</v>
      </c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4"/>
      <c r="CG50" s="72"/>
      <c r="CH50" s="87"/>
      <c r="CI50" s="72"/>
      <c r="CJ50" s="72"/>
      <c r="CK50" s="72"/>
      <c r="CL50" s="72"/>
      <c r="CM50" s="72"/>
      <c r="CN50" s="72"/>
      <c r="CO50" s="72"/>
      <c r="CP50" s="72"/>
      <c r="CQ50" s="72">
        <v>6</v>
      </c>
      <c r="CR50" s="72"/>
      <c r="CS50" s="72">
        <v>0</v>
      </c>
      <c r="CT50" s="72">
        <v>6</v>
      </c>
      <c r="CU50" s="72">
        <v>0</v>
      </c>
      <c r="CV50" s="72"/>
      <c r="CW50" s="72"/>
      <c r="CX50" s="72"/>
      <c r="CY50" s="74"/>
      <c r="CZ50" s="73">
        <v>1000</v>
      </c>
      <c r="DA50" s="72">
        <v>0</v>
      </c>
      <c r="DB50" s="72">
        <v>0</v>
      </c>
      <c r="DC50" s="73">
        <v>1000</v>
      </c>
      <c r="DD50" s="73">
        <v>0</v>
      </c>
      <c r="DE50" s="73"/>
      <c r="DF50" s="73"/>
      <c r="DG50" s="73"/>
      <c r="DH50" s="72"/>
      <c r="DI50" s="72">
        <v>5</v>
      </c>
      <c r="DJ50" s="72">
        <v>14</v>
      </c>
      <c r="DK50" s="72">
        <v>10</v>
      </c>
      <c r="DL50" s="72">
        <v>10</v>
      </c>
      <c r="DM50" s="72">
        <v>4</v>
      </c>
      <c r="DN50" s="72">
        <v>0</v>
      </c>
      <c r="DO50" s="72">
        <v>0</v>
      </c>
      <c r="DP50" s="72"/>
      <c r="DQ50" s="72"/>
      <c r="DR50" s="74"/>
      <c r="DS50" s="74"/>
      <c r="DT50" s="74"/>
      <c r="DU50" s="74"/>
      <c r="DV50" s="74"/>
      <c r="DW50" s="74"/>
      <c r="DX50" s="74"/>
      <c r="DY50" s="74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>
        <v>0.3</v>
      </c>
      <c r="EK50" s="72">
        <v>0.2</v>
      </c>
      <c r="EL50" s="72">
        <v>0.1</v>
      </c>
      <c r="EM50" s="72">
        <v>0</v>
      </c>
      <c r="EN50" s="72"/>
      <c r="EO50" s="72"/>
      <c r="EP50" s="72"/>
      <c r="EQ50" s="72"/>
      <c r="ER50" s="74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>
        <f t="shared" si="17"/>
        <v>0</v>
      </c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  <c r="HN50" s="72"/>
      <c r="HO50" s="72"/>
      <c r="HP50" s="72"/>
      <c r="HQ50" s="72"/>
      <c r="HR50" s="72"/>
      <c r="HS50" s="72"/>
      <c r="HT50" s="72"/>
      <c r="HU50" s="72"/>
      <c r="HV50" s="72"/>
      <c r="HW50" s="72"/>
      <c r="HX50" s="72"/>
      <c r="HY50" s="72"/>
      <c r="HZ50" s="72"/>
      <c r="IA50" s="72"/>
      <c r="IB50" s="72"/>
      <c r="IC50" s="72"/>
      <c r="ID50" s="72"/>
      <c r="IE50" s="77"/>
      <c r="IF50" s="78">
        <f t="shared" si="19"/>
        <v>0</v>
      </c>
      <c r="IG50" s="78">
        <f t="shared" si="20"/>
        <v>0</v>
      </c>
      <c r="IH50" s="78">
        <f t="shared" si="21"/>
        <v>0</v>
      </c>
      <c r="II50" s="78">
        <f t="shared" si="22"/>
        <v>0</v>
      </c>
      <c r="IJ50" s="78">
        <f t="shared" si="23"/>
        <v>0</v>
      </c>
      <c r="IK50" s="78">
        <f t="shared" si="18"/>
        <v>0</v>
      </c>
      <c r="IL50" s="78">
        <f t="shared" si="7"/>
        <v>0</v>
      </c>
      <c r="IM50" s="78">
        <f t="shared" si="8"/>
        <v>0</v>
      </c>
      <c r="IN50" s="79">
        <f t="shared" si="24"/>
        <v>6.3</v>
      </c>
      <c r="IO50" s="79">
        <f t="shared" si="25"/>
        <v>0.2</v>
      </c>
      <c r="IP50" s="79">
        <f t="shared" si="26"/>
        <v>0.1</v>
      </c>
      <c r="IQ50" s="79">
        <f t="shared" si="27"/>
        <v>6</v>
      </c>
      <c r="IR50" s="79">
        <f t="shared" si="28"/>
        <v>0</v>
      </c>
      <c r="IS50" s="79">
        <f t="shared" si="29"/>
        <v>0</v>
      </c>
      <c r="IT50" s="79">
        <f t="shared" si="30"/>
        <v>0</v>
      </c>
      <c r="IU50" s="79">
        <f t="shared" si="16"/>
        <v>0</v>
      </c>
      <c r="IV50" s="72">
        <v>0.4</v>
      </c>
      <c r="IW50" s="80">
        <v>1</v>
      </c>
      <c r="IX50" s="72"/>
    </row>
    <row r="51" spans="1:258" s="5" customFormat="1" ht="15.95" customHeight="1">
      <c r="A51" s="81">
        <v>45</v>
      </c>
      <c r="B51" s="71" t="s">
        <v>117</v>
      </c>
      <c r="C51" s="71" t="s">
        <v>101</v>
      </c>
      <c r="D51" s="71" t="s">
        <v>115</v>
      </c>
      <c r="E51" s="72">
        <v>12.8</v>
      </c>
      <c r="F51" s="72"/>
      <c r="G51" s="73">
        <v>300</v>
      </c>
      <c r="H51" s="72"/>
      <c r="I51" s="73">
        <v>300</v>
      </c>
      <c r="J51" s="73">
        <v>0</v>
      </c>
      <c r="K51" s="73"/>
      <c r="L51" s="73"/>
      <c r="M51" s="73"/>
      <c r="N51" s="73"/>
      <c r="O51" s="72"/>
      <c r="P51" s="72">
        <v>300</v>
      </c>
      <c r="Q51" s="72">
        <v>0</v>
      </c>
      <c r="R51" s="72"/>
      <c r="S51" s="72"/>
      <c r="T51" s="72"/>
      <c r="U51" s="72"/>
      <c r="V51" s="73">
        <v>500</v>
      </c>
      <c r="W51" s="73">
        <v>0</v>
      </c>
      <c r="X51" s="73"/>
      <c r="Y51" s="73">
        <v>500</v>
      </c>
      <c r="Z51" s="73"/>
      <c r="AA51" s="73"/>
      <c r="AB51" s="73"/>
      <c r="AC51" s="73"/>
      <c r="AD51" s="73">
        <v>0</v>
      </c>
      <c r="AE51" s="73"/>
      <c r="AF51" s="73">
        <v>0</v>
      </c>
      <c r="AG51" s="73">
        <v>500</v>
      </c>
      <c r="AH51" s="73"/>
      <c r="AI51" s="73"/>
      <c r="AJ51" s="73"/>
      <c r="AK51" s="73">
        <v>140</v>
      </c>
      <c r="AL51" s="73">
        <v>140</v>
      </c>
      <c r="AM51" s="73">
        <v>0</v>
      </c>
      <c r="AN51" s="73">
        <v>0</v>
      </c>
      <c r="AO51" s="73"/>
      <c r="AP51" s="73">
        <v>0</v>
      </c>
      <c r="AQ51" s="73"/>
      <c r="AR51" s="73"/>
      <c r="AS51" s="73">
        <v>140</v>
      </c>
      <c r="AT51" s="73"/>
      <c r="AU51" s="73">
        <v>0</v>
      </c>
      <c r="AV51" s="73"/>
      <c r="AW51" s="73"/>
      <c r="AX51" s="73"/>
      <c r="AY51" s="73"/>
      <c r="AZ51" s="73">
        <v>15</v>
      </c>
      <c r="BA51" s="73"/>
      <c r="BB51" s="73">
        <v>15</v>
      </c>
      <c r="BC51" s="73">
        <v>0</v>
      </c>
      <c r="BD51" s="73"/>
      <c r="BE51" s="73"/>
      <c r="BF51" s="73"/>
      <c r="BG51" s="73"/>
      <c r="BH51" s="73"/>
      <c r="BI51" s="73">
        <v>15</v>
      </c>
      <c r="BJ51" s="73"/>
      <c r="BK51" s="72">
        <v>0</v>
      </c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4"/>
      <c r="CG51" s="72">
        <v>0.3</v>
      </c>
      <c r="CH51" s="87"/>
      <c r="CI51" s="72">
        <v>0</v>
      </c>
      <c r="CJ51" s="72">
        <v>0.3</v>
      </c>
      <c r="CK51" s="72">
        <v>0</v>
      </c>
      <c r="CL51" s="72"/>
      <c r="CM51" s="72"/>
      <c r="CN51" s="72"/>
      <c r="CO51" s="72"/>
      <c r="CP51" s="72"/>
      <c r="CQ51" s="72">
        <v>2.5</v>
      </c>
      <c r="CR51" s="72"/>
      <c r="CS51" s="72">
        <v>0</v>
      </c>
      <c r="CT51" s="72">
        <v>0</v>
      </c>
      <c r="CU51" s="72">
        <v>1</v>
      </c>
      <c r="CV51" s="72">
        <v>1.5</v>
      </c>
      <c r="CW51" s="72"/>
      <c r="CX51" s="72"/>
      <c r="CY51" s="74"/>
      <c r="CZ51" s="72">
        <v>300</v>
      </c>
      <c r="DA51" s="72">
        <v>0</v>
      </c>
      <c r="DB51" s="72">
        <v>0</v>
      </c>
      <c r="DC51" s="72">
        <v>0</v>
      </c>
      <c r="DD51" s="72">
        <v>50</v>
      </c>
      <c r="DE51" s="72">
        <v>250</v>
      </c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4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>
        <v>1</v>
      </c>
      <c r="EK51" s="72">
        <v>0</v>
      </c>
      <c r="EL51" s="72">
        <v>0.5</v>
      </c>
      <c r="EM51" s="72">
        <v>0</v>
      </c>
      <c r="EN51" s="72">
        <v>0.5</v>
      </c>
      <c r="EO51" s="72"/>
      <c r="EP51" s="72"/>
      <c r="EQ51" s="72"/>
      <c r="ER51" s="74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>
        <f t="shared" si="17"/>
        <v>0</v>
      </c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7"/>
      <c r="IF51" s="78">
        <f t="shared" si="19"/>
        <v>0.3</v>
      </c>
      <c r="IG51" s="78">
        <f t="shared" si="20"/>
        <v>0</v>
      </c>
      <c r="IH51" s="78">
        <f t="shared" si="21"/>
        <v>0</v>
      </c>
      <c r="II51" s="78">
        <f t="shared" si="22"/>
        <v>0.3</v>
      </c>
      <c r="IJ51" s="78">
        <f t="shared" si="23"/>
        <v>0</v>
      </c>
      <c r="IK51" s="78">
        <f t="shared" si="18"/>
        <v>0</v>
      </c>
      <c r="IL51" s="78">
        <f t="shared" si="7"/>
        <v>0</v>
      </c>
      <c r="IM51" s="78">
        <f t="shared" si="8"/>
        <v>0</v>
      </c>
      <c r="IN51" s="79">
        <f t="shared" si="24"/>
        <v>3.5</v>
      </c>
      <c r="IO51" s="79">
        <f t="shared" si="25"/>
        <v>0</v>
      </c>
      <c r="IP51" s="79">
        <f t="shared" si="26"/>
        <v>0.5</v>
      </c>
      <c r="IQ51" s="79">
        <f t="shared" si="27"/>
        <v>0</v>
      </c>
      <c r="IR51" s="79">
        <f t="shared" si="28"/>
        <v>1.5</v>
      </c>
      <c r="IS51" s="79">
        <f t="shared" si="29"/>
        <v>1.5</v>
      </c>
      <c r="IT51" s="79">
        <f t="shared" si="30"/>
        <v>0</v>
      </c>
      <c r="IU51" s="79">
        <f t="shared" si="16"/>
        <v>0</v>
      </c>
      <c r="IV51" s="72">
        <v>0.06</v>
      </c>
      <c r="IW51" s="80">
        <v>1</v>
      </c>
      <c r="IX51" s="72"/>
    </row>
    <row r="52" spans="1:258" s="5" customFormat="1" ht="15.95" customHeight="1">
      <c r="A52" s="70">
        <v>46</v>
      </c>
      <c r="B52" s="71" t="s">
        <v>118</v>
      </c>
      <c r="C52" s="71" t="s">
        <v>101</v>
      </c>
      <c r="D52" s="71" t="s">
        <v>115</v>
      </c>
      <c r="E52" s="72">
        <v>40.6</v>
      </c>
      <c r="F52" s="72"/>
      <c r="G52" s="73">
        <v>200</v>
      </c>
      <c r="H52" s="72"/>
      <c r="I52" s="73">
        <v>200</v>
      </c>
      <c r="J52" s="73">
        <v>0</v>
      </c>
      <c r="K52" s="73"/>
      <c r="L52" s="73"/>
      <c r="M52" s="73"/>
      <c r="N52" s="73"/>
      <c r="O52" s="72"/>
      <c r="P52" s="72">
        <v>200</v>
      </c>
      <c r="Q52" s="72">
        <v>0</v>
      </c>
      <c r="R52" s="72"/>
      <c r="S52" s="72"/>
      <c r="T52" s="72"/>
      <c r="U52" s="72"/>
      <c r="V52" s="73">
        <v>0</v>
      </c>
      <c r="W52" s="73">
        <v>0</v>
      </c>
      <c r="X52" s="73"/>
      <c r="Y52" s="73">
        <v>0</v>
      </c>
      <c r="Z52" s="73"/>
      <c r="AA52" s="73"/>
      <c r="AB52" s="73"/>
      <c r="AC52" s="73"/>
      <c r="AD52" s="73">
        <v>0</v>
      </c>
      <c r="AE52" s="73"/>
      <c r="AF52" s="73"/>
      <c r="AG52" s="73"/>
      <c r="AH52" s="73"/>
      <c r="AI52" s="73"/>
      <c r="AJ52" s="73"/>
      <c r="AK52" s="73">
        <v>474</v>
      </c>
      <c r="AL52" s="73">
        <v>464</v>
      </c>
      <c r="AM52" s="73">
        <v>0</v>
      </c>
      <c r="AN52" s="73">
        <v>10</v>
      </c>
      <c r="AO52" s="73"/>
      <c r="AP52" s="73">
        <v>0</v>
      </c>
      <c r="AQ52" s="73"/>
      <c r="AR52" s="73"/>
      <c r="AS52" s="73">
        <v>464</v>
      </c>
      <c r="AT52" s="73"/>
      <c r="AU52" s="73">
        <v>10</v>
      </c>
      <c r="AV52" s="73">
        <v>0</v>
      </c>
      <c r="AW52" s="73"/>
      <c r="AX52" s="73"/>
      <c r="AY52" s="73"/>
      <c r="AZ52" s="73">
        <v>55</v>
      </c>
      <c r="BA52" s="73"/>
      <c r="BB52" s="73">
        <v>55</v>
      </c>
      <c r="BC52" s="73">
        <v>0</v>
      </c>
      <c r="BD52" s="73"/>
      <c r="BE52" s="73"/>
      <c r="BF52" s="73"/>
      <c r="BG52" s="73"/>
      <c r="BH52" s="73"/>
      <c r="BI52" s="73">
        <v>55</v>
      </c>
      <c r="BJ52" s="73">
        <v>0</v>
      </c>
      <c r="BK52" s="72">
        <v>0</v>
      </c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4"/>
      <c r="CG52" s="72"/>
      <c r="CH52" s="87"/>
      <c r="CI52" s="72"/>
      <c r="CJ52" s="72"/>
      <c r="CK52" s="72"/>
      <c r="CL52" s="72"/>
      <c r="CM52" s="72"/>
      <c r="CN52" s="72"/>
      <c r="CO52" s="72"/>
      <c r="CP52" s="72"/>
      <c r="CQ52" s="72">
        <v>9.6999999999999993</v>
      </c>
      <c r="CR52" s="72"/>
      <c r="CS52" s="72">
        <v>5</v>
      </c>
      <c r="CT52" s="72">
        <v>4.7</v>
      </c>
      <c r="CU52" s="72">
        <v>0</v>
      </c>
      <c r="CV52" s="72"/>
      <c r="CW52" s="72"/>
      <c r="CX52" s="72"/>
      <c r="CY52" s="74"/>
      <c r="CZ52" s="73">
        <v>1200</v>
      </c>
      <c r="DA52" s="72">
        <v>0</v>
      </c>
      <c r="DB52" s="72">
        <v>500</v>
      </c>
      <c r="DC52" s="72">
        <v>700</v>
      </c>
      <c r="DD52" s="72">
        <v>0</v>
      </c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4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>
        <v>0.4</v>
      </c>
      <c r="EK52" s="72">
        <v>0</v>
      </c>
      <c r="EL52" s="72">
        <v>0.4</v>
      </c>
      <c r="EM52" s="72">
        <v>0</v>
      </c>
      <c r="EN52" s="72"/>
      <c r="EO52" s="72"/>
      <c r="EP52" s="72"/>
      <c r="EQ52" s="72"/>
      <c r="ER52" s="74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>
        <f t="shared" si="17"/>
        <v>0</v>
      </c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>
        <v>0.3</v>
      </c>
      <c r="GU52" s="72">
        <v>0</v>
      </c>
      <c r="GV52" s="72">
        <v>0.3</v>
      </c>
      <c r="GW52" s="72">
        <v>0</v>
      </c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2"/>
      <c r="ID52" s="72"/>
      <c r="IE52" s="77"/>
      <c r="IF52" s="78">
        <f t="shared" si="19"/>
        <v>0.3</v>
      </c>
      <c r="IG52" s="78">
        <f t="shared" si="20"/>
        <v>0</v>
      </c>
      <c r="IH52" s="78">
        <f t="shared" si="21"/>
        <v>0.3</v>
      </c>
      <c r="II52" s="78">
        <f t="shared" si="22"/>
        <v>0</v>
      </c>
      <c r="IJ52" s="78">
        <f t="shared" si="23"/>
        <v>0</v>
      </c>
      <c r="IK52" s="78">
        <f t="shared" si="18"/>
        <v>0</v>
      </c>
      <c r="IL52" s="78">
        <f t="shared" si="7"/>
        <v>0</v>
      </c>
      <c r="IM52" s="78">
        <f t="shared" si="8"/>
        <v>0</v>
      </c>
      <c r="IN52" s="79">
        <f t="shared" si="24"/>
        <v>10.1</v>
      </c>
      <c r="IO52" s="79">
        <f t="shared" si="25"/>
        <v>0</v>
      </c>
      <c r="IP52" s="79">
        <f t="shared" si="26"/>
        <v>5.4</v>
      </c>
      <c r="IQ52" s="79">
        <f t="shared" si="27"/>
        <v>4.7</v>
      </c>
      <c r="IR52" s="79">
        <f t="shared" si="28"/>
        <v>0</v>
      </c>
      <c r="IS52" s="79">
        <f t="shared" si="29"/>
        <v>0</v>
      </c>
      <c r="IT52" s="79">
        <f t="shared" si="30"/>
        <v>0</v>
      </c>
      <c r="IU52" s="79">
        <f t="shared" si="16"/>
        <v>0</v>
      </c>
      <c r="IV52" s="72">
        <v>3</v>
      </c>
      <c r="IW52" s="80">
        <v>1</v>
      </c>
      <c r="IX52" s="72"/>
    </row>
    <row r="53" spans="1:258" s="5" customFormat="1" ht="15.95" customHeight="1">
      <c r="A53" s="70">
        <v>47</v>
      </c>
      <c r="B53" s="71" t="s">
        <v>119</v>
      </c>
      <c r="C53" s="71" t="s">
        <v>101</v>
      </c>
      <c r="D53" s="71" t="s">
        <v>115</v>
      </c>
      <c r="E53" s="72">
        <v>33.799999999999997</v>
      </c>
      <c r="F53" s="72"/>
      <c r="G53" s="73">
        <v>0</v>
      </c>
      <c r="H53" s="72"/>
      <c r="I53" s="73">
        <v>0</v>
      </c>
      <c r="J53" s="73"/>
      <c r="K53" s="73"/>
      <c r="L53" s="73"/>
      <c r="M53" s="73"/>
      <c r="N53" s="73"/>
      <c r="O53" s="72"/>
      <c r="P53" s="72">
        <v>0</v>
      </c>
      <c r="Q53" s="72"/>
      <c r="R53" s="72"/>
      <c r="S53" s="72"/>
      <c r="T53" s="72"/>
      <c r="U53" s="72"/>
      <c r="V53" s="73">
        <v>0</v>
      </c>
      <c r="W53" s="73">
        <v>0</v>
      </c>
      <c r="X53" s="73"/>
      <c r="Y53" s="73">
        <v>0</v>
      </c>
      <c r="Z53" s="73"/>
      <c r="AA53" s="73"/>
      <c r="AB53" s="73"/>
      <c r="AC53" s="73"/>
      <c r="AD53" s="73">
        <v>0</v>
      </c>
      <c r="AE53" s="73"/>
      <c r="AF53" s="73"/>
      <c r="AG53" s="73"/>
      <c r="AH53" s="73"/>
      <c r="AI53" s="73"/>
      <c r="AJ53" s="73"/>
      <c r="AK53" s="73">
        <v>300</v>
      </c>
      <c r="AL53" s="73">
        <v>300</v>
      </c>
      <c r="AM53" s="73">
        <v>0</v>
      </c>
      <c r="AN53" s="73">
        <v>0</v>
      </c>
      <c r="AO53" s="73"/>
      <c r="AP53" s="73">
        <v>0</v>
      </c>
      <c r="AQ53" s="73"/>
      <c r="AR53" s="73"/>
      <c r="AS53" s="73">
        <v>300</v>
      </c>
      <c r="AT53" s="73"/>
      <c r="AU53" s="73">
        <v>0</v>
      </c>
      <c r="AV53" s="73"/>
      <c r="AW53" s="73"/>
      <c r="AX53" s="73"/>
      <c r="AY53" s="73"/>
      <c r="AZ53" s="73">
        <v>0</v>
      </c>
      <c r="BA53" s="73"/>
      <c r="BB53" s="73">
        <v>0</v>
      </c>
      <c r="BC53" s="73">
        <v>0</v>
      </c>
      <c r="BD53" s="73"/>
      <c r="BE53" s="73"/>
      <c r="BF53" s="73"/>
      <c r="BG53" s="73"/>
      <c r="BH53" s="73"/>
      <c r="BI53" s="73">
        <v>0</v>
      </c>
      <c r="BJ53" s="73">
        <v>0</v>
      </c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4"/>
      <c r="CG53" s="72"/>
      <c r="CH53" s="87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4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4"/>
      <c r="DS53" s="74"/>
      <c r="DT53" s="74"/>
      <c r="DU53" s="74"/>
      <c r="DV53" s="74"/>
      <c r="DW53" s="74"/>
      <c r="DX53" s="74"/>
      <c r="DY53" s="74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>
        <v>1.6</v>
      </c>
      <c r="EK53" s="72">
        <v>1.6</v>
      </c>
      <c r="EL53" s="72">
        <v>0</v>
      </c>
      <c r="EM53" s="72">
        <v>0</v>
      </c>
      <c r="EN53" s="72"/>
      <c r="EO53" s="72"/>
      <c r="EP53" s="72"/>
      <c r="EQ53" s="72"/>
      <c r="ER53" s="74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>
        <f t="shared" si="17"/>
        <v>0</v>
      </c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>
        <v>1</v>
      </c>
      <c r="HM53" s="72">
        <v>0</v>
      </c>
      <c r="HN53" s="72">
        <v>0</v>
      </c>
      <c r="HO53" s="72">
        <v>1</v>
      </c>
      <c r="HP53" s="72"/>
      <c r="HQ53" s="72"/>
      <c r="HR53" s="72"/>
      <c r="HS53" s="72"/>
      <c r="HT53" s="72"/>
      <c r="HU53" s="72"/>
      <c r="HV53" s="72"/>
      <c r="HW53" s="72"/>
      <c r="HX53" s="72"/>
      <c r="HY53" s="72"/>
      <c r="HZ53" s="72"/>
      <c r="IA53" s="72"/>
      <c r="IB53" s="72"/>
      <c r="IC53" s="72"/>
      <c r="ID53" s="72"/>
      <c r="IE53" s="77"/>
      <c r="IF53" s="78">
        <f t="shared" si="19"/>
        <v>0</v>
      </c>
      <c r="IG53" s="78">
        <f t="shared" si="20"/>
        <v>0</v>
      </c>
      <c r="IH53" s="78">
        <f t="shared" si="21"/>
        <v>0</v>
      </c>
      <c r="II53" s="78">
        <f t="shared" si="22"/>
        <v>0</v>
      </c>
      <c r="IJ53" s="78">
        <f t="shared" si="23"/>
        <v>0</v>
      </c>
      <c r="IK53" s="78">
        <f t="shared" si="18"/>
        <v>0</v>
      </c>
      <c r="IL53" s="78">
        <f t="shared" si="7"/>
        <v>0</v>
      </c>
      <c r="IM53" s="78">
        <f t="shared" si="8"/>
        <v>0</v>
      </c>
      <c r="IN53" s="79">
        <f t="shared" si="24"/>
        <v>1.6</v>
      </c>
      <c r="IO53" s="79">
        <f t="shared" si="25"/>
        <v>1.6</v>
      </c>
      <c r="IP53" s="79">
        <f t="shared" si="26"/>
        <v>0</v>
      </c>
      <c r="IQ53" s="79">
        <f t="shared" si="27"/>
        <v>0</v>
      </c>
      <c r="IR53" s="79">
        <f t="shared" si="28"/>
        <v>0</v>
      </c>
      <c r="IS53" s="79">
        <f t="shared" si="29"/>
        <v>0</v>
      </c>
      <c r="IT53" s="79">
        <f t="shared" si="30"/>
        <v>0</v>
      </c>
      <c r="IU53" s="79">
        <f t="shared" si="16"/>
        <v>0</v>
      </c>
      <c r="IV53" s="72">
        <v>3.8</v>
      </c>
      <c r="IW53" s="80">
        <v>1</v>
      </c>
      <c r="IX53" s="72"/>
    </row>
    <row r="54" spans="1:258" s="5" customFormat="1" ht="15.95" customHeight="1">
      <c r="A54" s="70">
        <v>48</v>
      </c>
      <c r="B54" s="71" t="s">
        <v>120</v>
      </c>
      <c r="C54" s="71" t="s">
        <v>101</v>
      </c>
      <c r="D54" s="71" t="s">
        <v>115</v>
      </c>
      <c r="E54" s="72">
        <v>12.8</v>
      </c>
      <c r="F54" s="72"/>
      <c r="G54" s="73">
        <v>150</v>
      </c>
      <c r="H54" s="72"/>
      <c r="I54" s="73">
        <v>150</v>
      </c>
      <c r="J54" s="73">
        <v>0</v>
      </c>
      <c r="K54" s="73"/>
      <c r="L54" s="73"/>
      <c r="M54" s="73"/>
      <c r="N54" s="73"/>
      <c r="O54" s="72"/>
      <c r="P54" s="72">
        <v>150</v>
      </c>
      <c r="Q54" s="72">
        <v>0</v>
      </c>
      <c r="R54" s="72"/>
      <c r="S54" s="72"/>
      <c r="T54" s="72"/>
      <c r="U54" s="72"/>
      <c r="V54" s="73">
        <v>0</v>
      </c>
      <c r="W54" s="73">
        <v>0</v>
      </c>
      <c r="X54" s="73"/>
      <c r="Y54" s="73">
        <v>0</v>
      </c>
      <c r="Z54" s="73"/>
      <c r="AA54" s="73"/>
      <c r="AB54" s="73"/>
      <c r="AC54" s="73"/>
      <c r="AD54" s="73">
        <v>0</v>
      </c>
      <c r="AE54" s="73"/>
      <c r="AF54" s="73"/>
      <c r="AG54" s="73"/>
      <c r="AH54" s="73"/>
      <c r="AI54" s="73"/>
      <c r="AJ54" s="73"/>
      <c r="AK54" s="73">
        <v>754</v>
      </c>
      <c r="AL54" s="73">
        <v>200</v>
      </c>
      <c r="AM54" s="73">
        <v>0</v>
      </c>
      <c r="AN54" s="73">
        <v>5</v>
      </c>
      <c r="AO54" s="73">
        <v>549</v>
      </c>
      <c r="AP54" s="73">
        <v>0</v>
      </c>
      <c r="AQ54" s="73"/>
      <c r="AR54" s="73"/>
      <c r="AS54" s="73">
        <v>200</v>
      </c>
      <c r="AT54" s="73"/>
      <c r="AU54" s="73">
        <v>5</v>
      </c>
      <c r="AV54" s="73">
        <v>549</v>
      </c>
      <c r="AW54" s="73"/>
      <c r="AX54" s="73"/>
      <c r="AY54" s="73"/>
      <c r="AZ54" s="73">
        <v>60</v>
      </c>
      <c r="BA54" s="73"/>
      <c r="BB54" s="73">
        <v>60</v>
      </c>
      <c r="BC54" s="73">
        <v>0</v>
      </c>
      <c r="BD54" s="73"/>
      <c r="BE54" s="73"/>
      <c r="BF54" s="73"/>
      <c r="BG54" s="73"/>
      <c r="BH54" s="73"/>
      <c r="BI54" s="73">
        <v>60</v>
      </c>
      <c r="BJ54" s="73">
        <v>0</v>
      </c>
      <c r="BK54" s="72">
        <v>0</v>
      </c>
      <c r="BL54" s="72"/>
      <c r="BM54" s="72"/>
      <c r="BN54" s="72"/>
      <c r="BO54" s="72">
        <v>2</v>
      </c>
      <c r="BP54" s="72">
        <v>0</v>
      </c>
      <c r="BQ54" s="72">
        <v>2</v>
      </c>
      <c r="BR54" s="72">
        <v>0</v>
      </c>
      <c r="BS54" s="72"/>
      <c r="BT54" s="72"/>
      <c r="BU54" s="72"/>
      <c r="BV54" s="72"/>
      <c r="BW54" s="72"/>
      <c r="BX54" s="72">
        <v>0.69</v>
      </c>
      <c r="BY54" s="72">
        <v>0</v>
      </c>
      <c r="BZ54" s="72">
        <v>0.69</v>
      </c>
      <c r="CA54" s="72">
        <v>0</v>
      </c>
      <c r="CB54" s="72"/>
      <c r="CC54" s="72"/>
      <c r="CD54" s="72"/>
      <c r="CE54" s="72"/>
      <c r="CF54" s="74"/>
      <c r="CG54" s="72">
        <v>0.5</v>
      </c>
      <c r="CH54" s="87"/>
      <c r="CI54" s="72">
        <v>0</v>
      </c>
      <c r="CJ54" s="72">
        <v>0.5</v>
      </c>
      <c r="CK54" s="72">
        <v>0</v>
      </c>
      <c r="CL54" s="72"/>
      <c r="CM54" s="72"/>
      <c r="CN54" s="72"/>
      <c r="CO54" s="72"/>
      <c r="CP54" s="72"/>
      <c r="CQ54" s="72">
        <v>4.2</v>
      </c>
      <c r="CR54" s="72"/>
      <c r="CS54" s="72">
        <v>4.2</v>
      </c>
      <c r="CT54" s="72">
        <v>0</v>
      </c>
      <c r="CU54" s="72">
        <v>0</v>
      </c>
      <c r="CV54" s="72"/>
      <c r="CW54" s="72"/>
      <c r="CX54" s="72"/>
      <c r="CY54" s="74"/>
      <c r="CZ54" s="72">
        <v>700</v>
      </c>
      <c r="DA54" s="72">
        <v>0</v>
      </c>
      <c r="DB54" s="72">
        <v>700</v>
      </c>
      <c r="DC54" s="72">
        <v>0</v>
      </c>
      <c r="DD54" s="72">
        <v>0</v>
      </c>
      <c r="DE54" s="72"/>
      <c r="DF54" s="72"/>
      <c r="DG54" s="72"/>
      <c r="DH54" s="72"/>
      <c r="DI54" s="72">
        <v>4</v>
      </c>
      <c r="DJ54" s="72">
        <v>8</v>
      </c>
      <c r="DK54" s="72">
        <v>2</v>
      </c>
      <c r="DL54" s="72">
        <v>7</v>
      </c>
      <c r="DM54" s="72">
        <v>1</v>
      </c>
      <c r="DN54" s="72">
        <v>0</v>
      </c>
      <c r="DO54" s="72"/>
      <c r="DP54" s="72"/>
      <c r="DQ54" s="72"/>
      <c r="DR54" s="74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>
        <v>0.11</v>
      </c>
      <c r="EK54" s="72">
        <v>0</v>
      </c>
      <c r="EL54" s="72">
        <v>0.11</v>
      </c>
      <c r="EM54" s="72">
        <v>0</v>
      </c>
      <c r="EN54" s="72"/>
      <c r="EO54" s="72"/>
      <c r="EP54" s="72"/>
      <c r="EQ54" s="72"/>
      <c r="ER54" s="74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>
        <v>400</v>
      </c>
      <c r="FL54" s="72">
        <v>0</v>
      </c>
      <c r="FM54" s="72"/>
      <c r="FN54" s="72">
        <v>0</v>
      </c>
      <c r="FO54" s="72">
        <v>200</v>
      </c>
      <c r="FP54" s="72">
        <v>200</v>
      </c>
      <c r="FQ54" s="72"/>
      <c r="FR54" s="72"/>
      <c r="FS54" s="72">
        <f t="shared" si="17"/>
        <v>0</v>
      </c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>
        <v>1</v>
      </c>
      <c r="GU54" s="72">
        <v>0</v>
      </c>
      <c r="GV54" s="72">
        <v>0.5</v>
      </c>
      <c r="GW54" s="72">
        <v>0</v>
      </c>
      <c r="GX54" s="72">
        <v>0.5</v>
      </c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>
        <v>0</v>
      </c>
      <c r="HM54" s="72">
        <v>0</v>
      </c>
      <c r="HN54" s="72"/>
      <c r="HO54" s="72"/>
      <c r="HP54" s="72"/>
      <c r="HQ54" s="72"/>
      <c r="HR54" s="72"/>
      <c r="HS54" s="72"/>
      <c r="HT54" s="72"/>
      <c r="HU54" s="72">
        <v>1</v>
      </c>
      <c r="HV54" s="72">
        <v>0</v>
      </c>
      <c r="HW54" s="72">
        <v>0</v>
      </c>
      <c r="HX54" s="72">
        <v>0</v>
      </c>
      <c r="HY54" s="72">
        <v>1</v>
      </c>
      <c r="HZ54" s="72"/>
      <c r="IA54" s="72"/>
      <c r="IB54" s="72"/>
      <c r="IC54" s="72"/>
      <c r="ID54" s="72"/>
      <c r="IE54" s="77"/>
      <c r="IF54" s="78">
        <f t="shared" si="19"/>
        <v>2.19</v>
      </c>
      <c r="IG54" s="78">
        <f t="shared" si="20"/>
        <v>0</v>
      </c>
      <c r="IH54" s="78">
        <f t="shared" si="21"/>
        <v>1.19</v>
      </c>
      <c r="II54" s="78">
        <f t="shared" si="22"/>
        <v>0.5</v>
      </c>
      <c r="IJ54" s="78">
        <f t="shared" si="23"/>
        <v>0.5</v>
      </c>
      <c r="IK54" s="78">
        <f t="shared" si="18"/>
        <v>0</v>
      </c>
      <c r="IL54" s="78">
        <f t="shared" si="7"/>
        <v>0</v>
      </c>
      <c r="IM54" s="78">
        <f t="shared" si="8"/>
        <v>0</v>
      </c>
      <c r="IN54" s="79">
        <f t="shared" si="24"/>
        <v>4.3100000000000005</v>
      </c>
      <c r="IO54" s="79">
        <f t="shared" si="25"/>
        <v>0</v>
      </c>
      <c r="IP54" s="79">
        <f t="shared" si="26"/>
        <v>4.3100000000000005</v>
      </c>
      <c r="IQ54" s="79">
        <f t="shared" si="27"/>
        <v>0</v>
      </c>
      <c r="IR54" s="79">
        <f t="shared" si="28"/>
        <v>0</v>
      </c>
      <c r="IS54" s="79">
        <f t="shared" si="29"/>
        <v>0</v>
      </c>
      <c r="IT54" s="79">
        <f t="shared" si="30"/>
        <v>0</v>
      </c>
      <c r="IU54" s="79">
        <f t="shared" si="16"/>
        <v>0</v>
      </c>
      <c r="IV54" s="72">
        <v>1</v>
      </c>
      <c r="IW54" s="80">
        <v>1</v>
      </c>
      <c r="IX54" s="72"/>
    </row>
    <row r="55" spans="1:258" s="5" customFormat="1" ht="15.95" customHeight="1">
      <c r="A55" s="81">
        <v>49</v>
      </c>
      <c r="B55" s="71" t="s">
        <v>121</v>
      </c>
      <c r="C55" s="71" t="s">
        <v>101</v>
      </c>
      <c r="D55" s="71" t="s">
        <v>115</v>
      </c>
      <c r="E55" s="72">
        <v>6.3</v>
      </c>
      <c r="F55" s="72"/>
      <c r="G55" s="73">
        <v>0</v>
      </c>
      <c r="H55" s="72"/>
      <c r="I55" s="73">
        <v>0</v>
      </c>
      <c r="J55" s="73"/>
      <c r="K55" s="73"/>
      <c r="L55" s="73"/>
      <c r="M55" s="73"/>
      <c r="N55" s="73"/>
      <c r="O55" s="72"/>
      <c r="P55" s="72">
        <v>0</v>
      </c>
      <c r="Q55" s="72"/>
      <c r="R55" s="72"/>
      <c r="S55" s="72"/>
      <c r="T55" s="72"/>
      <c r="U55" s="72"/>
      <c r="V55" s="73">
        <v>0</v>
      </c>
      <c r="W55" s="73">
        <v>0</v>
      </c>
      <c r="X55" s="73"/>
      <c r="Y55" s="73">
        <v>0</v>
      </c>
      <c r="Z55" s="73"/>
      <c r="AA55" s="73"/>
      <c r="AB55" s="73"/>
      <c r="AC55" s="73"/>
      <c r="AD55" s="73">
        <v>0</v>
      </c>
      <c r="AE55" s="73"/>
      <c r="AF55" s="73"/>
      <c r="AG55" s="73"/>
      <c r="AH55" s="73"/>
      <c r="AI55" s="73"/>
      <c r="AJ55" s="73"/>
      <c r="AK55" s="73">
        <v>300</v>
      </c>
      <c r="AL55" s="73">
        <v>300</v>
      </c>
      <c r="AM55" s="73">
        <v>0</v>
      </c>
      <c r="AN55" s="73">
        <v>0</v>
      </c>
      <c r="AO55" s="73"/>
      <c r="AP55" s="73">
        <v>0</v>
      </c>
      <c r="AQ55" s="73"/>
      <c r="AR55" s="73"/>
      <c r="AS55" s="73">
        <v>300</v>
      </c>
      <c r="AT55" s="73"/>
      <c r="AU55" s="73">
        <v>0</v>
      </c>
      <c r="AV55" s="73">
        <v>0</v>
      </c>
      <c r="AW55" s="73"/>
      <c r="AX55" s="73"/>
      <c r="AY55" s="73"/>
      <c r="AZ55" s="73">
        <v>20</v>
      </c>
      <c r="BA55" s="73"/>
      <c r="BB55" s="73">
        <v>20</v>
      </c>
      <c r="BC55" s="73">
        <v>0</v>
      </c>
      <c r="BD55" s="73"/>
      <c r="BE55" s="73"/>
      <c r="BF55" s="73"/>
      <c r="BG55" s="73"/>
      <c r="BH55" s="73"/>
      <c r="BI55" s="73">
        <v>20</v>
      </c>
      <c r="BJ55" s="73">
        <v>0</v>
      </c>
      <c r="BK55" s="72">
        <v>0</v>
      </c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4"/>
      <c r="CG55" s="72">
        <v>0.2</v>
      </c>
      <c r="CH55" s="87"/>
      <c r="CI55" s="72">
        <v>0.2</v>
      </c>
      <c r="CJ55" s="72">
        <v>0</v>
      </c>
      <c r="CK55" s="72">
        <v>0</v>
      </c>
      <c r="CL55" s="72"/>
      <c r="CM55" s="72"/>
      <c r="CN55" s="72"/>
      <c r="CO55" s="72"/>
      <c r="CP55" s="72"/>
      <c r="CQ55" s="72">
        <v>2</v>
      </c>
      <c r="CR55" s="72"/>
      <c r="CS55" s="72">
        <v>1</v>
      </c>
      <c r="CT55" s="72">
        <v>1</v>
      </c>
      <c r="CU55" s="72">
        <v>0</v>
      </c>
      <c r="CV55" s="72"/>
      <c r="CW55" s="72"/>
      <c r="CX55" s="72"/>
      <c r="CY55" s="74"/>
      <c r="CZ55" s="72"/>
      <c r="DA55" s="72"/>
      <c r="DB55" s="72"/>
      <c r="DC55" s="72"/>
      <c r="DD55" s="72"/>
      <c r="DE55" s="72"/>
      <c r="DF55" s="72"/>
      <c r="DG55" s="72"/>
      <c r="DH55" s="72"/>
      <c r="DI55" s="72">
        <v>3</v>
      </c>
      <c r="DJ55" s="72">
        <v>8</v>
      </c>
      <c r="DK55" s="72">
        <v>8</v>
      </c>
      <c r="DL55" s="72">
        <v>0</v>
      </c>
      <c r="DM55" s="72">
        <v>0</v>
      </c>
      <c r="DN55" s="72">
        <v>0</v>
      </c>
      <c r="DO55" s="72"/>
      <c r="DP55" s="72"/>
      <c r="DQ55" s="72"/>
      <c r="DR55" s="74"/>
      <c r="DS55" s="74"/>
      <c r="DT55" s="74"/>
      <c r="DU55" s="74"/>
      <c r="DV55" s="74"/>
      <c r="DW55" s="74"/>
      <c r="DX55" s="74"/>
      <c r="DY55" s="74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>
        <v>0.7</v>
      </c>
      <c r="EK55" s="72">
        <v>0.7</v>
      </c>
      <c r="EL55" s="72">
        <v>0</v>
      </c>
      <c r="EM55" s="72">
        <v>0</v>
      </c>
      <c r="EN55" s="72"/>
      <c r="EO55" s="72"/>
      <c r="EP55" s="72"/>
      <c r="EQ55" s="72"/>
      <c r="ER55" s="74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>
        <f t="shared" si="17"/>
        <v>0</v>
      </c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72"/>
      <c r="IC55" s="72"/>
      <c r="ID55" s="72"/>
      <c r="IE55" s="77"/>
      <c r="IF55" s="78">
        <f t="shared" si="19"/>
        <v>0.2</v>
      </c>
      <c r="IG55" s="78">
        <f t="shared" si="20"/>
        <v>0</v>
      </c>
      <c r="IH55" s="78">
        <f t="shared" si="21"/>
        <v>0.2</v>
      </c>
      <c r="II55" s="78">
        <f t="shared" si="22"/>
        <v>0</v>
      </c>
      <c r="IJ55" s="78">
        <f t="shared" si="23"/>
        <v>0</v>
      </c>
      <c r="IK55" s="78">
        <f t="shared" si="18"/>
        <v>0</v>
      </c>
      <c r="IL55" s="78">
        <f t="shared" si="7"/>
        <v>0</v>
      </c>
      <c r="IM55" s="78">
        <f t="shared" si="8"/>
        <v>0</v>
      </c>
      <c r="IN55" s="79">
        <f t="shared" si="24"/>
        <v>2.7</v>
      </c>
      <c r="IO55" s="79">
        <f t="shared" si="25"/>
        <v>0.7</v>
      </c>
      <c r="IP55" s="79">
        <f t="shared" si="26"/>
        <v>1</v>
      </c>
      <c r="IQ55" s="79">
        <f t="shared" si="27"/>
        <v>1</v>
      </c>
      <c r="IR55" s="79">
        <f t="shared" si="28"/>
        <v>0</v>
      </c>
      <c r="IS55" s="79">
        <f t="shared" si="29"/>
        <v>0</v>
      </c>
      <c r="IT55" s="79">
        <f t="shared" si="30"/>
        <v>0</v>
      </c>
      <c r="IU55" s="79">
        <f t="shared" si="16"/>
        <v>0</v>
      </c>
      <c r="IV55" s="72">
        <v>0.5</v>
      </c>
      <c r="IW55" s="80">
        <v>1</v>
      </c>
      <c r="IX55" s="72"/>
    </row>
    <row r="56" spans="1:258" s="5" customFormat="1" ht="15.95" customHeight="1">
      <c r="A56" s="70">
        <v>50</v>
      </c>
      <c r="B56" s="71" t="s">
        <v>122</v>
      </c>
      <c r="C56" s="71" t="s">
        <v>101</v>
      </c>
      <c r="D56" s="71" t="s">
        <v>111</v>
      </c>
      <c r="E56" s="72">
        <v>4.7</v>
      </c>
      <c r="F56" s="72"/>
      <c r="G56" s="73">
        <v>500</v>
      </c>
      <c r="H56" s="72"/>
      <c r="I56" s="73">
        <v>500</v>
      </c>
      <c r="J56" s="73">
        <v>0</v>
      </c>
      <c r="K56" s="73"/>
      <c r="L56" s="73"/>
      <c r="M56" s="73"/>
      <c r="N56" s="73"/>
      <c r="O56" s="72"/>
      <c r="P56" s="72">
        <v>500</v>
      </c>
      <c r="Q56" s="72">
        <v>0</v>
      </c>
      <c r="R56" s="72"/>
      <c r="S56" s="72"/>
      <c r="T56" s="72"/>
      <c r="U56" s="72"/>
      <c r="V56" s="73">
        <v>0</v>
      </c>
      <c r="W56" s="73">
        <v>0</v>
      </c>
      <c r="X56" s="73"/>
      <c r="Y56" s="73">
        <v>0</v>
      </c>
      <c r="Z56" s="73"/>
      <c r="AA56" s="73"/>
      <c r="AB56" s="73"/>
      <c r="AC56" s="73"/>
      <c r="AD56" s="73">
        <v>0</v>
      </c>
      <c r="AE56" s="73"/>
      <c r="AF56" s="73"/>
      <c r="AG56" s="73"/>
      <c r="AH56" s="73"/>
      <c r="AI56" s="73"/>
      <c r="AJ56" s="73"/>
      <c r="AK56" s="73">
        <v>1402</v>
      </c>
      <c r="AL56" s="73">
        <v>0</v>
      </c>
      <c r="AM56" s="73">
        <v>0</v>
      </c>
      <c r="AN56" s="73">
        <v>0</v>
      </c>
      <c r="AO56" s="73">
        <v>1402</v>
      </c>
      <c r="AP56" s="73">
        <v>0</v>
      </c>
      <c r="AQ56" s="73"/>
      <c r="AR56" s="73"/>
      <c r="AS56" s="73">
        <v>0</v>
      </c>
      <c r="AT56" s="73"/>
      <c r="AU56" s="73">
        <v>0</v>
      </c>
      <c r="AV56" s="73">
        <v>100</v>
      </c>
      <c r="AW56" s="73">
        <v>1302</v>
      </c>
      <c r="AX56" s="73"/>
      <c r="AY56" s="73"/>
      <c r="AZ56" s="73">
        <v>0</v>
      </c>
      <c r="BA56" s="73"/>
      <c r="BB56" s="73">
        <v>0</v>
      </c>
      <c r="BC56" s="73">
        <v>0</v>
      </c>
      <c r="BD56" s="73"/>
      <c r="BE56" s="73"/>
      <c r="BF56" s="73"/>
      <c r="BG56" s="73"/>
      <c r="BH56" s="73"/>
      <c r="BI56" s="73">
        <v>0</v>
      </c>
      <c r="BJ56" s="73">
        <v>0</v>
      </c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4"/>
      <c r="CG56" s="72"/>
      <c r="CH56" s="87"/>
      <c r="CI56" s="72"/>
      <c r="CJ56" s="72"/>
      <c r="CK56" s="72"/>
      <c r="CL56" s="72"/>
      <c r="CM56" s="72"/>
      <c r="CN56" s="72"/>
      <c r="CO56" s="72"/>
      <c r="CP56" s="72"/>
      <c r="CQ56" s="72">
        <v>4</v>
      </c>
      <c r="CR56" s="72"/>
      <c r="CS56" s="72">
        <v>0</v>
      </c>
      <c r="CT56" s="72">
        <v>2</v>
      </c>
      <c r="CU56" s="72">
        <v>0</v>
      </c>
      <c r="CV56" s="72">
        <v>2</v>
      </c>
      <c r="CW56" s="72"/>
      <c r="CX56" s="72"/>
      <c r="CY56" s="74"/>
      <c r="CZ56" s="72">
        <v>1000</v>
      </c>
      <c r="DA56" s="72">
        <v>0</v>
      </c>
      <c r="DB56" s="72">
        <v>0</v>
      </c>
      <c r="DC56" s="72">
        <v>100</v>
      </c>
      <c r="DD56" s="72">
        <v>0</v>
      </c>
      <c r="DE56" s="72">
        <v>900</v>
      </c>
      <c r="DF56" s="72"/>
      <c r="DG56" s="72"/>
      <c r="DH56" s="72"/>
      <c r="DI56" s="72">
        <v>1</v>
      </c>
      <c r="DJ56" s="72">
        <v>15</v>
      </c>
      <c r="DK56" s="72"/>
      <c r="DL56" s="72">
        <v>0</v>
      </c>
      <c r="DM56" s="72">
        <v>7</v>
      </c>
      <c r="DN56" s="72">
        <v>0</v>
      </c>
      <c r="DO56" s="72">
        <v>8</v>
      </c>
      <c r="DP56" s="72"/>
      <c r="DQ56" s="72"/>
      <c r="DR56" s="74"/>
      <c r="DS56" s="74"/>
      <c r="DT56" s="74"/>
      <c r="DU56" s="74"/>
      <c r="DV56" s="74"/>
      <c r="DW56" s="74"/>
      <c r="DX56" s="74"/>
      <c r="DY56" s="74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>
        <v>0.5</v>
      </c>
      <c r="EK56" s="72">
        <v>0</v>
      </c>
      <c r="EL56" s="72">
        <v>0.5</v>
      </c>
      <c r="EM56" s="72"/>
      <c r="EN56" s="72"/>
      <c r="EO56" s="72"/>
      <c r="EP56" s="72"/>
      <c r="EQ56" s="72"/>
      <c r="ER56" s="74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>
        <f t="shared" si="17"/>
        <v>0</v>
      </c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  <c r="HN56" s="72"/>
      <c r="HO56" s="72"/>
      <c r="HP56" s="72"/>
      <c r="HQ56" s="72"/>
      <c r="HR56" s="72"/>
      <c r="HS56" s="72"/>
      <c r="HT56" s="72"/>
      <c r="HU56" s="72"/>
      <c r="HV56" s="72"/>
      <c r="HW56" s="72"/>
      <c r="HX56" s="72"/>
      <c r="HY56" s="72"/>
      <c r="HZ56" s="72"/>
      <c r="IA56" s="72"/>
      <c r="IB56" s="72"/>
      <c r="IC56" s="72"/>
      <c r="ID56" s="72"/>
      <c r="IE56" s="77"/>
      <c r="IF56" s="78">
        <f t="shared" si="19"/>
        <v>0</v>
      </c>
      <c r="IG56" s="78">
        <f t="shared" si="20"/>
        <v>0</v>
      </c>
      <c r="IH56" s="78">
        <f t="shared" si="21"/>
        <v>0</v>
      </c>
      <c r="II56" s="78">
        <f t="shared" si="22"/>
        <v>0</v>
      </c>
      <c r="IJ56" s="78">
        <f t="shared" si="23"/>
        <v>0</v>
      </c>
      <c r="IK56" s="78">
        <f t="shared" si="18"/>
        <v>0</v>
      </c>
      <c r="IL56" s="78">
        <f t="shared" si="7"/>
        <v>0</v>
      </c>
      <c r="IM56" s="78">
        <f t="shared" si="8"/>
        <v>0</v>
      </c>
      <c r="IN56" s="79">
        <f t="shared" si="24"/>
        <v>4.5</v>
      </c>
      <c r="IO56" s="79">
        <f t="shared" si="25"/>
        <v>0</v>
      </c>
      <c r="IP56" s="79">
        <f t="shared" si="26"/>
        <v>0.5</v>
      </c>
      <c r="IQ56" s="79">
        <f t="shared" si="27"/>
        <v>2</v>
      </c>
      <c r="IR56" s="79">
        <f t="shared" si="28"/>
        <v>0</v>
      </c>
      <c r="IS56" s="79">
        <f t="shared" si="29"/>
        <v>2</v>
      </c>
      <c r="IT56" s="79">
        <f t="shared" si="30"/>
        <v>0</v>
      </c>
      <c r="IU56" s="79">
        <f t="shared" si="16"/>
        <v>0</v>
      </c>
      <c r="IV56" s="72">
        <v>0.7</v>
      </c>
      <c r="IW56" s="80">
        <v>1</v>
      </c>
      <c r="IX56" s="72"/>
    </row>
    <row r="57" spans="1:258" s="5" customFormat="1" ht="15.95" customHeight="1">
      <c r="A57" s="70">
        <v>51</v>
      </c>
      <c r="B57" s="71" t="s">
        <v>123</v>
      </c>
      <c r="C57" s="71" t="s">
        <v>101</v>
      </c>
      <c r="D57" s="71" t="s">
        <v>111</v>
      </c>
      <c r="E57" s="72">
        <v>68.5</v>
      </c>
      <c r="F57" s="72"/>
      <c r="G57" s="73">
        <v>0</v>
      </c>
      <c r="H57" s="72"/>
      <c r="I57" s="73">
        <v>0</v>
      </c>
      <c r="J57" s="73"/>
      <c r="K57" s="73"/>
      <c r="L57" s="73"/>
      <c r="M57" s="73"/>
      <c r="N57" s="73"/>
      <c r="O57" s="72"/>
      <c r="P57" s="72">
        <v>0</v>
      </c>
      <c r="Q57" s="72"/>
      <c r="R57" s="72"/>
      <c r="S57" s="72"/>
      <c r="T57" s="72"/>
      <c r="U57" s="72"/>
      <c r="V57" s="73">
        <v>0</v>
      </c>
      <c r="W57" s="73">
        <v>0</v>
      </c>
      <c r="X57" s="73"/>
      <c r="Y57" s="73">
        <v>0</v>
      </c>
      <c r="Z57" s="73"/>
      <c r="AA57" s="73"/>
      <c r="AB57" s="73"/>
      <c r="AC57" s="73"/>
      <c r="AD57" s="73">
        <v>0</v>
      </c>
      <c r="AE57" s="73"/>
      <c r="AF57" s="73"/>
      <c r="AG57" s="73"/>
      <c r="AH57" s="73"/>
      <c r="AI57" s="73"/>
      <c r="AJ57" s="73"/>
      <c r="AK57" s="73">
        <v>825</v>
      </c>
      <c r="AL57" s="73">
        <v>822</v>
      </c>
      <c r="AM57" s="73">
        <v>0</v>
      </c>
      <c r="AN57" s="73">
        <v>0</v>
      </c>
      <c r="AO57" s="73">
        <v>3</v>
      </c>
      <c r="AP57" s="73">
        <v>0</v>
      </c>
      <c r="AQ57" s="73"/>
      <c r="AR57" s="73"/>
      <c r="AS57" s="73">
        <v>543</v>
      </c>
      <c r="AT57" s="73"/>
      <c r="AU57" s="73">
        <v>279</v>
      </c>
      <c r="AV57" s="73">
        <v>3</v>
      </c>
      <c r="AW57" s="73"/>
      <c r="AX57" s="73"/>
      <c r="AY57" s="73"/>
      <c r="AZ57" s="73">
        <v>13</v>
      </c>
      <c r="BA57" s="73"/>
      <c r="BB57" s="73">
        <v>13</v>
      </c>
      <c r="BC57" s="73">
        <v>0</v>
      </c>
      <c r="BD57" s="73"/>
      <c r="BE57" s="73"/>
      <c r="BF57" s="73"/>
      <c r="BG57" s="73"/>
      <c r="BH57" s="73"/>
      <c r="BI57" s="73">
        <v>13</v>
      </c>
      <c r="BJ57" s="73">
        <v>0</v>
      </c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4"/>
      <c r="CG57" s="72">
        <v>1.1000000000000001</v>
      </c>
      <c r="CH57" s="87"/>
      <c r="CI57" s="72">
        <v>0</v>
      </c>
      <c r="CJ57" s="72">
        <v>0.5</v>
      </c>
      <c r="CK57" s="72">
        <v>0</v>
      </c>
      <c r="CL57" s="72">
        <v>0.6</v>
      </c>
      <c r="CM57" s="72"/>
      <c r="CN57" s="72"/>
      <c r="CO57" s="72"/>
      <c r="CP57" s="72"/>
      <c r="CQ57" s="72">
        <v>10.4</v>
      </c>
      <c r="CR57" s="72"/>
      <c r="CS57" s="72">
        <v>2</v>
      </c>
      <c r="CT57" s="72">
        <v>8</v>
      </c>
      <c r="CU57" s="72">
        <v>0</v>
      </c>
      <c r="CV57" s="72">
        <v>0.4</v>
      </c>
      <c r="CW57" s="72"/>
      <c r="CX57" s="72"/>
      <c r="CY57" s="74"/>
      <c r="CZ57" s="73">
        <v>1000</v>
      </c>
      <c r="DA57" s="72">
        <v>0</v>
      </c>
      <c r="DB57" s="72">
        <v>0</v>
      </c>
      <c r="DC57" s="72">
        <v>700</v>
      </c>
      <c r="DD57" s="72">
        <v>300</v>
      </c>
      <c r="DE57" s="72"/>
      <c r="DF57" s="72"/>
      <c r="DG57" s="72"/>
      <c r="DH57" s="72"/>
      <c r="DI57" s="72">
        <v>5</v>
      </c>
      <c r="DJ57" s="72">
        <v>15</v>
      </c>
      <c r="DK57" s="72">
        <v>2</v>
      </c>
      <c r="DL57" s="72">
        <v>3</v>
      </c>
      <c r="DM57" s="72">
        <v>2</v>
      </c>
      <c r="DN57" s="72">
        <v>3</v>
      </c>
      <c r="DO57" s="72">
        <v>5</v>
      </c>
      <c r="DP57" s="72"/>
      <c r="DQ57" s="72"/>
      <c r="DR57" s="74"/>
      <c r="DS57" s="74"/>
      <c r="DT57" s="74"/>
      <c r="DU57" s="74"/>
      <c r="DV57" s="74"/>
      <c r="DW57" s="74"/>
      <c r="DX57" s="74"/>
      <c r="DY57" s="74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>
        <v>0.1</v>
      </c>
      <c r="EK57" s="72">
        <v>0</v>
      </c>
      <c r="EL57" s="72">
        <v>0.1</v>
      </c>
      <c r="EM57" s="72">
        <v>0</v>
      </c>
      <c r="EN57" s="72"/>
      <c r="EO57" s="72"/>
      <c r="EP57" s="72"/>
      <c r="EQ57" s="72"/>
      <c r="ER57" s="74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>
        <f t="shared" si="17"/>
        <v>0</v>
      </c>
      <c r="FT57" s="72">
        <v>1</v>
      </c>
      <c r="FU57" s="72"/>
      <c r="FV57" s="72"/>
      <c r="FW57" s="72"/>
      <c r="FX57" s="72">
        <v>1</v>
      </c>
      <c r="FY57" s="72"/>
      <c r="FZ57" s="72"/>
      <c r="GA57" s="72"/>
      <c r="GB57" s="72"/>
      <c r="GC57" s="72"/>
      <c r="GD57" s="72"/>
      <c r="GE57" s="72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>
        <v>0</v>
      </c>
      <c r="HM57" s="72">
        <v>0</v>
      </c>
      <c r="HN57" s="72"/>
      <c r="HO57" s="72"/>
      <c r="HP57" s="72"/>
      <c r="HQ57" s="72"/>
      <c r="HR57" s="72"/>
      <c r="HS57" s="72"/>
      <c r="HT57" s="72"/>
      <c r="HU57" s="72"/>
      <c r="HV57" s="72"/>
      <c r="HW57" s="72"/>
      <c r="HX57" s="72"/>
      <c r="HY57" s="72"/>
      <c r="HZ57" s="72"/>
      <c r="IA57" s="72"/>
      <c r="IB57" s="72"/>
      <c r="IC57" s="72"/>
      <c r="ID57" s="72"/>
      <c r="IE57" s="77"/>
      <c r="IF57" s="78">
        <f t="shared" si="19"/>
        <v>1.1000000000000001</v>
      </c>
      <c r="IG57" s="78">
        <f t="shared" si="20"/>
        <v>0</v>
      </c>
      <c r="IH57" s="78">
        <f t="shared" si="21"/>
        <v>0</v>
      </c>
      <c r="II57" s="78">
        <f t="shared" si="22"/>
        <v>0.5</v>
      </c>
      <c r="IJ57" s="78">
        <f t="shared" si="23"/>
        <v>0</v>
      </c>
      <c r="IK57" s="78">
        <f t="shared" si="18"/>
        <v>0.6</v>
      </c>
      <c r="IL57" s="78">
        <f t="shared" si="7"/>
        <v>0</v>
      </c>
      <c r="IM57" s="78">
        <f t="shared" si="8"/>
        <v>0</v>
      </c>
      <c r="IN57" s="79">
        <f t="shared" si="24"/>
        <v>10.5</v>
      </c>
      <c r="IO57" s="79">
        <f t="shared" si="25"/>
        <v>0</v>
      </c>
      <c r="IP57" s="79">
        <f t="shared" si="26"/>
        <v>2.1</v>
      </c>
      <c r="IQ57" s="79">
        <f t="shared" si="27"/>
        <v>8</v>
      </c>
      <c r="IR57" s="79">
        <f t="shared" si="28"/>
        <v>0</v>
      </c>
      <c r="IS57" s="79">
        <f t="shared" si="29"/>
        <v>0.4</v>
      </c>
      <c r="IT57" s="79">
        <f t="shared" si="30"/>
        <v>0</v>
      </c>
      <c r="IU57" s="79">
        <f t="shared" si="16"/>
        <v>0</v>
      </c>
      <c r="IV57" s="72">
        <v>5</v>
      </c>
      <c r="IW57" s="80">
        <v>1</v>
      </c>
      <c r="IX57" s="72"/>
    </row>
    <row r="58" spans="1:258" s="5" customFormat="1" ht="15.95" customHeight="1">
      <c r="A58" s="70">
        <v>52</v>
      </c>
      <c r="B58" s="71" t="s">
        <v>124</v>
      </c>
      <c r="C58" s="71" t="s">
        <v>101</v>
      </c>
      <c r="D58" s="71" t="s">
        <v>111</v>
      </c>
      <c r="E58" s="72">
        <v>3.3</v>
      </c>
      <c r="F58" s="72"/>
      <c r="G58" s="73">
        <v>100</v>
      </c>
      <c r="H58" s="72"/>
      <c r="I58" s="73">
        <v>100</v>
      </c>
      <c r="J58" s="73">
        <v>0</v>
      </c>
      <c r="K58" s="73"/>
      <c r="L58" s="73"/>
      <c r="M58" s="73"/>
      <c r="N58" s="73"/>
      <c r="O58" s="72"/>
      <c r="P58" s="72">
        <v>100</v>
      </c>
      <c r="Q58" s="72">
        <v>0</v>
      </c>
      <c r="R58" s="72"/>
      <c r="S58" s="72"/>
      <c r="T58" s="72"/>
      <c r="U58" s="72"/>
      <c r="V58" s="73">
        <v>0</v>
      </c>
      <c r="W58" s="73">
        <v>0</v>
      </c>
      <c r="X58" s="73"/>
      <c r="Y58" s="73">
        <v>0</v>
      </c>
      <c r="Z58" s="73"/>
      <c r="AA58" s="73"/>
      <c r="AB58" s="73"/>
      <c r="AC58" s="73"/>
      <c r="AD58" s="73">
        <v>0</v>
      </c>
      <c r="AE58" s="73"/>
      <c r="AF58" s="73"/>
      <c r="AG58" s="73"/>
      <c r="AH58" s="73"/>
      <c r="AI58" s="73"/>
      <c r="AJ58" s="73"/>
      <c r="AK58" s="73">
        <v>274</v>
      </c>
      <c r="AL58" s="73">
        <v>271</v>
      </c>
      <c r="AM58" s="73">
        <v>0</v>
      </c>
      <c r="AN58" s="73">
        <v>0</v>
      </c>
      <c r="AO58" s="73">
        <v>3</v>
      </c>
      <c r="AP58" s="73">
        <v>0</v>
      </c>
      <c r="AQ58" s="73"/>
      <c r="AR58" s="73"/>
      <c r="AS58" s="73">
        <v>99</v>
      </c>
      <c r="AT58" s="73"/>
      <c r="AU58" s="73">
        <v>172</v>
      </c>
      <c r="AV58" s="73"/>
      <c r="AW58" s="73">
        <v>3</v>
      </c>
      <c r="AX58" s="73"/>
      <c r="AY58" s="73"/>
      <c r="AZ58" s="73">
        <v>23</v>
      </c>
      <c r="BA58" s="73"/>
      <c r="BB58" s="73">
        <v>23</v>
      </c>
      <c r="BC58" s="73">
        <v>0</v>
      </c>
      <c r="BD58" s="73"/>
      <c r="BE58" s="73"/>
      <c r="BF58" s="73"/>
      <c r="BG58" s="73"/>
      <c r="BH58" s="73"/>
      <c r="BI58" s="73">
        <v>23</v>
      </c>
      <c r="BJ58" s="73">
        <v>0</v>
      </c>
      <c r="BK58" s="72">
        <v>0</v>
      </c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4"/>
      <c r="CG58" s="72"/>
      <c r="CH58" s="87"/>
      <c r="CI58" s="72"/>
      <c r="CJ58" s="72"/>
      <c r="CK58" s="72"/>
      <c r="CL58" s="72"/>
      <c r="CM58" s="72"/>
      <c r="CN58" s="72"/>
      <c r="CO58" s="72"/>
      <c r="CP58" s="72"/>
      <c r="CQ58" s="72">
        <v>1.8</v>
      </c>
      <c r="CR58" s="72"/>
      <c r="CS58" s="72">
        <v>0.1</v>
      </c>
      <c r="CT58" s="72">
        <v>0.9</v>
      </c>
      <c r="CU58" s="72">
        <v>0</v>
      </c>
      <c r="CV58" s="72">
        <v>0.8</v>
      </c>
      <c r="CW58" s="72"/>
      <c r="CX58" s="72"/>
      <c r="CY58" s="74"/>
      <c r="CZ58" s="72">
        <v>1000</v>
      </c>
      <c r="DA58" s="72">
        <v>0</v>
      </c>
      <c r="DB58" s="72">
        <v>0</v>
      </c>
      <c r="DC58" s="72">
        <v>200</v>
      </c>
      <c r="DD58" s="72">
        <v>100</v>
      </c>
      <c r="DE58" s="72">
        <v>700</v>
      </c>
      <c r="DF58" s="72"/>
      <c r="DG58" s="72"/>
      <c r="DH58" s="72"/>
      <c r="DI58" s="72">
        <v>1</v>
      </c>
      <c r="DJ58" s="72">
        <v>15</v>
      </c>
      <c r="DK58" s="72">
        <v>4</v>
      </c>
      <c r="DL58" s="72">
        <v>0</v>
      </c>
      <c r="DM58" s="72">
        <v>4</v>
      </c>
      <c r="DN58" s="72">
        <v>1</v>
      </c>
      <c r="DO58" s="72">
        <v>6</v>
      </c>
      <c r="DP58" s="72"/>
      <c r="DQ58" s="72"/>
      <c r="DR58" s="74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>
        <v>0.2</v>
      </c>
      <c r="EK58" s="72">
        <v>0</v>
      </c>
      <c r="EL58" s="72">
        <v>0.2</v>
      </c>
      <c r="EM58" s="72">
        <v>0</v>
      </c>
      <c r="EN58" s="72"/>
      <c r="EO58" s="72"/>
      <c r="EP58" s="72"/>
      <c r="EQ58" s="72"/>
      <c r="ER58" s="74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>
        <f t="shared" si="17"/>
        <v>0</v>
      </c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  <c r="HN58" s="72"/>
      <c r="HO58" s="72"/>
      <c r="HP58" s="72"/>
      <c r="HQ58" s="72"/>
      <c r="HR58" s="72"/>
      <c r="HS58" s="72"/>
      <c r="HT58" s="72"/>
      <c r="HU58" s="72"/>
      <c r="HV58" s="72"/>
      <c r="HW58" s="72"/>
      <c r="HX58" s="72"/>
      <c r="HY58" s="72"/>
      <c r="HZ58" s="72"/>
      <c r="IA58" s="72"/>
      <c r="IB58" s="72"/>
      <c r="IC58" s="72"/>
      <c r="ID58" s="72"/>
      <c r="IE58" s="77"/>
      <c r="IF58" s="78">
        <f t="shared" si="19"/>
        <v>0</v>
      </c>
      <c r="IG58" s="78">
        <f t="shared" si="20"/>
        <v>0</v>
      </c>
      <c r="IH58" s="78">
        <f t="shared" si="21"/>
        <v>0</v>
      </c>
      <c r="II58" s="78">
        <f t="shared" si="22"/>
        <v>0</v>
      </c>
      <c r="IJ58" s="78">
        <f t="shared" si="23"/>
        <v>0</v>
      </c>
      <c r="IK58" s="78">
        <f t="shared" si="18"/>
        <v>0</v>
      </c>
      <c r="IL58" s="78">
        <f t="shared" si="7"/>
        <v>0</v>
      </c>
      <c r="IM58" s="78">
        <f t="shared" si="8"/>
        <v>0</v>
      </c>
      <c r="IN58" s="79">
        <f t="shared" si="24"/>
        <v>2</v>
      </c>
      <c r="IO58" s="79">
        <f t="shared" si="25"/>
        <v>0</v>
      </c>
      <c r="IP58" s="79">
        <f t="shared" si="26"/>
        <v>0.30000000000000004</v>
      </c>
      <c r="IQ58" s="79">
        <f t="shared" si="27"/>
        <v>0.9</v>
      </c>
      <c r="IR58" s="79">
        <f t="shared" si="28"/>
        <v>0</v>
      </c>
      <c r="IS58" s="79">
        <f t="shared" si="29"/>
        <v>0.8</v>
      </c>
      <c r="IT58" s="79">
        <f t="shared" si="30"/>
        <v>0</v>
      </c>
      <c r="IU58" s="79">
        <f t="shared" si="16"/>
        <v>0</v>
      </c>
      <c r="IV58" s="72">
        <v>1.2</v>
      </c>
      <c r="IW58" s="80">
        <v>1</v>
      </c>
      <c r="IX58" s="72"/>
    </row>
    <row r="59" spans="1:258" s="5" customFormat="1" ht="15.95" customHeight="1">
      <c r="A59" s="81">
        <v>53</v>
      </c>
      <c r="B59" s="71" t="s">
        <v>125</v>
      </c>
      <c r="C59" s="71" t="s">
        <v>101</v>
      </c>
      <c r="D59" s="71" t="s">
        <v>111</v>
      </c>
      <c r="E59" s="72">
        <v>65.900000000000006</v>
      </c>
      <c r="F59" s="72"/>
      <c r="G59" s="73">
        <v>0</v>
      </c>
      <c r="H59" s="72"/>
      <c r="I59" s="73">
        <v>0</v>
      </c>
      <c r="J59" s="73"/>
      <c r="K59" s="73"/>
      <c r="L59" s="73"/>
      <c r="M59" s="73"/>
      <c r="N59" s="73"/>
      <c r="O59" s="72"/>
      <c r="P59" s="72">
        <v>0</v>
      </c>
      <c r="Q59" s="72"/>
      <c r="R59" s="72"/>
      <c r="S59" s="72"/>
      <c r="T59" s="72"/>
      <c r="U59" s="72"/>
      <c r="V59" s="73">
        <v>0</v>
      </c>
      <c r="W59" s="73">
        <v>0</v>
      </c>
      <c r="X59" s="73"/>
      <c r="Y59" s="73">
        <v>0</v>
      </c>
      <c r="Z59" s="73"/>
      <c r="AA59" s="73"/>
      <c r="AB59" s="73"/>
      <c r="AC59" s="73"/>
      <c r="AD59" s="73">
        <v>0</v>
      </c>
      <c r="AE59" s="73"/>
      <c r="AF59" s="73"/>
      <c r="AG59" s="73"/>
      <c r="AH59" s="73"/>
      <c r="AI59" s="73"/>
      <c r="AJ59" s="73"/>
      <c r="AK59" s="73">
        <v>550</v>
      </c>
      <c r="AL59" s="73">
        <v>550</v>
      </c>
      <c r="AM59" s="73">
        <v>0</v>
      </c>
      <c r="AN59" s="73">
        <v>0</v>
      </c>
      <c r="AO59" s="73"/>
      <c r="AP59" s="73">
        <v>0</v>
      </c>
      <c r="AQ59" s="73"/>
      <c r="AR59" s="73"/>
      <c r="AS59" s="73">
        <v>200</v>
      </c>
      <c r="AT59" s="73"/>
      <c r="AU59" s="73">
        <v>200</v>
      </c>
      <c r="AV59" s="73">
        <v>150</v>
      </c>
      <c r="AW59" s="73"/>
      <c r="AX59" s="73"/>
      <c r="AY59" s="73"/>
      <c r="AZ59" s="73">
        <v>40</v>
      </c>
      <c r="BA59" s="73"/>
      <c r="BB59" s="73">
        <v>40</v>
      </c>
      <c r="BC59" s="73">
        <v>0</v>
      </c>
      <c r="BD59" s="73"/>
      <c r="BE59" s="73"/>
      <c r="BF59" s="73"/>
      <c r="BG59" s="73"/>
      <c r="BH59" s="73"/>
      <c r="BI59" s="73">
        <v>40</v>
      </c>
      <c r="BJ59" s="73">
        <v>0</v>
      </c>
      <c r="BK59" s="72">
        <v>0</v>
      </c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4"/>
      <c r="CG59" s="72"/>
      <c r="CH59" s="87"/>
      <c r="CI59" s="72"/>
      <c r="CJ59" s="72"/>
      <c r="CK59" s="72"/>
      <c r="CL59" s="72"/>
      <c r="CM59" s="72"/>
      <c r="CN59" s="72"/>
      <c r="CO59" s="72"/>
      <c r="CP59" s="72"/>
      <c r="CQ59" s="72">
        <v>8.5</v>
      </c>
      <c r="CR59" s="72"/>
      <c r="CS59" s="72">
        <v>1</v>
      </c>
      <c r="CT59" s="72">
        <v>0</v>
      </c>
      <c r="CU59" s="72">
        <v>2</v>
      </c>
      <c r="CV59" s="72">
        <v>5.5</v>
      </c>
      <c r="CW59" s="72"/>
      <c r="CX59" s="72"/>
      <c r="CY59" s="74"/>
      <c r="CZ59" s="72"/>
      <c r="DA59" s="72"/>
      <c r="DB59" s="72"/>
      <c r="DC59" s="72"/>
      <c r="DD59" s="72"/>
      <c r="DE59" s="72"/>
      <c r="DF59" s="72"/>
      <c r="DG59" s="72"/>
      <c r="DH59" s="72"/>
      <c r="DI59" s="72">
        <v>2</v>
      </c>
      <c r="DJ59" s="72">
        <v>4</v>
      </c>
      <c r="DK59" s="72"/>
      <c r="DL59" s="72">
        <v>2</v>
      </c>
      <c r="DM59" s="72">
        <v>0</v>
      </c>
      <c r="DN59" s="72">
        <v>1</v>
      </c>
      <c r="DO59" s="72">
        <v>1</v>
      </c>
      <c r="DP59" s="72"/>
      <c r="DQ59" s="72"/>
      <c r="DR59" s="74"/>
      <c r="DS59" s="74"/>
      <c r="DT59" s="74"/>
      <c r="DU59" s="74"/>
      <c r="DV59" s="74"/>
      <c r="DW59" s="74"/>
      <c r="DX59" s="74"/>
      <c r="DY59" s="74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>
        <v>0.5</v>
      </c>
      <c r="EK59" s="72">
        <v>0</v>
      </c>
      <c r="EL59" s="72">
        <v>0.5</v>
      </c>
      <c r="EM59" s="72"/>
      <c r="EN59" s="72"/>
      <c r="EO59" s="72"/>
      <c r="EP59" s="72"/>
      <c r="EQ59" s="72"/>
      <c r="ER59" s="74"/>
      <c r="ES59" s="72"/>
      <c r="ET59" s="72"/>
      <c r="EU59" s="72"/>
      <c r="EV59" s="72"/>
      <c r="EW59" s="72"/>
      <c r="EX59" s="72"/>
      <c r="EY59" s="72"/>
      <c r="EZ59" s="72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72"/>
      <c r="FM59" s="72"/>
      <c r="FN59" s="72"/>
      <c r="FO59" s="72"/>
      <c r="FP59" s="72"/>
      <c r="FQ59" s="72"/>
      <c r="FR59" s="72"/>
      <c r="FS59" s="72">
        <f t="shared" si="17"/>
        <v>0</v>
      </c>
      <c r="FT59" s="72"/>
      <c r="FU59" s="72"/>
      <c r="FV59" s="72"/>
      <c r="FW59" s="72"/>
      <c r="FX59" s="72"/>
      <c r="FY59" s="72"/>
      <c r="FZ59" s="72"/>
      <c r="GA59" s="72"/>
      <c r="GB59" s="72"/>
      <c r="GC59" s="72"/>
      <c r="GD59" s="72"/>
      <c r="GE59" s="72"/>
      <c r="GF59" s="72"/>
      <c r="GG59" s="72"/>
      <c r="GH59" s="72"/>
      <c r="GI59" s="72"/>
      <c r="GJ59" s="72"/>
      <c r="GK59" s="72"/>
      <c r="GL59" s="72"/>
      <c r="GM59" s="72"/>
      <c r="GN59" s="72"/>
      <c r="GO59" s="72"/>
      <c r="GP59" s="72"/>
      <c r="GQ59" s="72"/>
      <c r="GR59" s="72"/>
      <c r="GS59" s="72"/>
      <c r="GT59" s="72"/>
      <c r="GU59" s="72"/>
      <c r="GV59" s="72"/>
      <c r="GW59" s="72"/>
      <c r="GX59" s="72"/>
      <c r="GY59" s="72"/>
      <c r="GZ59" s="72"/>
      <c r="HA59" s="72"/>
      <c r="HB59" s="72"/>
      <c r="HC59" s="72"/>
      <c r="HD59" s="72"/>
      <c r="HE59" s="72"/>
      <c r="HF59" s="72"/>
      <c r="HG59" s="72"/>
      <c r="HH59" s="72"/>
      <c r="HI59" s="72"/>
      <c r="HJ59" s="72"/>
      <c r="HK59" s="72"/>
      <c r="HL59" s="72"/>
      <c r="HM59" s="72"/>
      <c r="HN59" s="72"/>
      <c r="HO59" s="72"/>
      <c r="HP59" s="72"/>
      <c r="HQ59" s="72"/>
      <c r="HR59" s="72"/>
      <c r="HS59" s="72"/>
      <c r="HT59" s="72"/>
      <c r="HU59" s="72"/>
      <c r="HV59" s="72"/>
      <c r="HW59" s="72"/>
      <c r="HX59" s="72"/>
      <c r="HY59" s="72"/>
      <c r="HZ59" s="72"/>
      <c r="IA59" s="72"/>
      <c r="IB59" s="72"/>
      <c r="IC59" s="72"/>
      <c r="ID59" s="72"/>
      <c r="IE59" s="77"/>
      <c r="IF59" s="78">
        <f t="shared" si="19"/>
        <v>0</v>
      </c>
      <c r="IG59" s="78">
        <f t="shared" si="20"/>
        <v>0</v>
      </c>
      <c r="IH59" s="78">
        <f t="shared" si="21"/>
        <v>0</v>
      </c>
      <c r="II59" s="78">
        <f t="shared" si="22"/>
        <v>0</v>
      </c>
      <c r="IJ59" s="78">
        <f t="shared" si="23"/>
        <v>0</v>
      </c>
      <c r="IK59" s="78">
        <f t="shared" si="18"/>
        <v>0</v>
      </c>
      <c r="IL59" s="78">
        <f t="shared" si="7"/>
        <v>0</v>
      </c>
      <c r="IM59" s="78">
        <f t="shared" si="8"/>
        <v>0</v>
      </c>
      <c r="IN59" s="79">
        <f t="shared" si="24"/>
        <v>9</v>
      </c>
      <c r="IO59" s="79">
        <f t="shared" si="25"/>
        <v>0</v>
      </c>
      <c r="IP59" s="79">
        <f t="shared" si="26"/>
        <v>1.5</v>
      </c>
      <c r="IQ59" s="79">
        <f t="shared" si="27"/>
        <v>0</v>
      </c>
      <c r="IR59" s="79">
        <f t="shared" si="28"/>
        <v>2</v>
      </c>
      <c r="IS59" s="79">
        <f t="shared" si="29"/>
        <v>5.5</v>
      </c>
      <c r="IT59" s="79">
        <f t="shared" si="30"/>
        <v>0</v>
      </c>
      <c r="IU59" s="79">
        <f t="shared" si="16"/>
        <v>0</v>
      </c>
      <c r="IV59" s="72">
        <v>8.6999999999999993</v>
      </c>
      <c r="IW59" s="80">
        <v>1</v>
      </c>
      <c r="IX59" s="72"/>
    </row>
    <row r="60" spans="1:258" s="5" customFormat="1" ht="15.95" customHeight="1">
      <c r="A60" s="70">
        <v>54</v>
      </c>
      <c r="B60" s="71" t="s">
        <v>126</v>
      </c>
      <c r="C60" s="71" t="s">
        <v>101</v>
      </c>
      <c r="D60" s="71" t="s">
        <v>111</v>
      </c>
      <c r="E60" s="72">
        <v>115.1</v>
      </c>
      <c r="F60" s="72"/>
      <c r="G60" s="73">
        <v>0</v>
      </c>
      <c r="H60" s="72"/>
      <c r="I60" s="73">
        <v>0</v>
      </c>
      <c r="J60" s="73"/>
      <c r="K60" s="73"/>
      <c r="L60" s="73"/>
      <c r="M60" s="73"/>
      <c r="N60" s="73"/>
      <c r="O60" s="72"/>
      <c r="P60" s="72">
        <v>0</v>
      </c>
      <c r="Q60" s="72"/>
      <c r="R60" s="72"/>
      <c r="S60" s="72"/>
      <c r="T60" s="72"/>
      <c r="U60" s="72"/>
      <c r="V60" s="73">
        <v>0</v>
      </c>
      <c r="W60" s="73">
        <v>0</v>
      </c>
      <c r="X60" s="73"/>
      <c r="Y60" s="73">
        <v>0</v>
      </c>
      <c r="Z60" s="73"/>
      <c r="AA60" s="73"/>
      <c r="AB60" s="73"/>
      <c r="AC60" s="73"/>
      <c r="AD60" s="73">
        <v>0</v>
      </c>
      <c r="AE60" s="73"/>
      <c r="AF60" s="73"/>
      <c r="AG60" s="73"/>
      <c r="AH60" s="73"/>
      <c r="AI60" s="73"/>
      <c r="AJ60" s="73"/>
      <c r="AK60" s="73">
        <v>450</v>
      </c>
      <c r="AL60" s="73">
        <v>450</v>
      </c>
      <c r="AM60" s="73">
        <v>0</v>
      </c>
      <c r="AN60" s="73"/>
      <c r="AO60" s="73"/>
      <c r="AP60" s="73">
        <v>0</v>
      </c>
      <c r="AQ60" s="73"/>
      <c r="AR60" s="73"/>
      <c r="AS60" s="73">
        <v>350</v>
      </c>
      <c r="AT60" s="73"/>
      <c r="AU60" s="73">
        <v>100</v>
      </c>
      <c r="AV60" s="73">
        <v>0</v>
      </c>
      <c r="AW60" s="73"/>
      <c r="AX60" s="73"/>
      <c r="AY60" s="73"/>
      <c r="AZ60" s="73">
        <v>50</v>
      </c>
      <c r="BA60" s="73"/>
      <c r="BB60" s="73">
        <v>50</v>
      </c>
      <c r="BC60" s="73">
        <v>0</v>
      </c>
      <c r="BD60" s="73"/>
      <c r="BE60" s="73"/>
      <c r="BF60" s="73"/>
      <c r="BG60" s="73"/>
      <c r="BH60" s="73"/>
      <c r="BI60" s="73">
        <v>50</v>
      </c>
      <c r="BJ60" s="73">
        <v>0</v>
      </c>
      <c r="BK60" s="72">
        <v>0</v>
      </c>
      <c r="BL60" s="72"/>
      <c r="BM60" s="72"/>
      <c r="BN60" s="72"/>
      <c r="BO60" s="74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4"/>
      <c r="CG60" s="72"/>
      <c r="CH60" s="87"/>
      <c r="CI60" s="72"/>
      <c r="CJ60" s="72"/>
      <c r="CK60" s="72"/>
      <c r="CL60" s="72"/>
      <c r="CM60" s="72"/>
      <c r="CN60" s="72"/>
      <c r="CO60" s="72"/>
      <c r="CP60" s="72"/>
      <c r="CQ60" s="72">
        <v>14.8</v>
      </c>
      <c r="CR60" s="72"/>
      <c r="CS60" s="72">
        <v>0</v>
      </c>
      <c r="CT60" s="72">
        <v>5</v>
      </c>
      <c r="CU60" s="72">
        <v>3</v>
      </c>
      <c r="CV60" s="72">
        <v>6.8</v>
      </c>
      <c r="CW60" s="72"/>
      <c r="CX60" s="72"/>
      <c r="CY60" s="74"/>
      <c r="CZ60" s="72">
        <v>500</v>
      </c>
      <c r="DA60" s="72">
        <v>0</v>
      </c>
      <c r="DB60" s="72">
        <v>0</v>
      </c>
      <c r="DC60" s="72">
        <v>200</v>
      </c>
      <c r="DD60" s="72">
        <v>50</v>
      </c>
      <c r="DE60" s="72">
        <v>250</v>
      </c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4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>
        <v>1.2</v>
      </c>
      <c r="EK60" s="72">
        <v>0</v>
      </c>
      <c r="EL60" s="72">
        <v>1.2</v>
      </c>
      <c r="EM60" s="72">
        <v>0</v>
      </c>
      <c r="EN60" s="72"/>
      <c r="EO60" s="72"/>
      <c r="EP60" s="72"/>
      <c r="EQ60" s="72"/>
      <c r="ER60" s="74"/>
      <c r="ES60" s="72">
        <v>0.7</v>
      </c>
      <c r="ET60" s="72">
        <v>0</v>
      </c>
      <c r="EU60" s="72">
        <v>0</v>
      </c>
      <c r="EV60" s="72">
        <v>0</v>
      </c>
      <c r="EW60" s="72"/>
      <c r="EX60" s="72">
        <v>0.7</v>
      </c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>
        <f t="shared" si="17"/>
        <v>0</v>
      </c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7"/>
      <c r="IF60" s="78">
        <f t="shared" si="19"/>
        <v>0</v>
      </c>
      <c r="IG60" s="78">
        <f t="shared" si="20"/>
        <v>0</v>
      </c>
      <c r="IH60" s="78">
        <f t="shared" si="21"/>
        <v>0</v>
      </c>
      <c r="II60" s="78">
        <f t="shared" si="22"/>
        <v>0</v>
      </c>
      <c r="IJ60" s="78">
        <f t="shared" si="23"/>
        <v>0</v>
      </c>
      <c r="IK60" s="78">
        <f t="shared" si="18"/>
        <v>0</v>
      </c>
      <c r="IL60" s="78">
        <f t="shared" si="7"/>
        <v>0</v>
      </c>
      <c r="IM60" s="78">
        <f t="shared" si="8"/>
        <v>0</v>
      </c>
      <c r="IN60" s="79">
        <f t="shared" si="24"/>
        <v>16.7</v>
      </c>
      <c r="IO60" s="79">
        <f t="shared" si="25"/>
        <v>0</v>
      </c>
      <c r="IP60" s="79">
        <f t="shared" si="26"/>
        <v>1.2</v>
      </c>
      <c r="IQ60" s="79">
        <f t="shared" si="27"/>
        <v>5</v>
      </c>
      <c r="IR60" s="79">
        <f t="shared" si="28"/>
        <v>3</v>
      </c>
      <c r="IS60" s="79">
        <f t="shared" si="29"/>
        <v>7.5</v>
      </c>
      <c r="IT60" s="79">
        <f t="shared" si="30"/>
        <v>0</v>
      </c>
      <c r="IU60" s="79">
        <f t="shared" si="16"/>
        <v>0</v>
      </c>
      <c r="IV60" s="72">
        <v>1.2</v>
      </c>
      <c r="IW60" s="80">
        <v>1</v>
      </c>
      <c r="IX60" s="72"/>
    </row>
    <row r="61" spans="1:258" s="5" customFormat="1" ht="15.95" customHeight="1">
      <c r="A61" s="70">
        <v>55</v>
      </c>
      <c r="B61" s="71" t="s">
        <v>127</v>
      </c>
      <c r="C61" s="71" t="s">
        <v>101</v>
      </c>
      <c r="D61" s="71" t="s">
        <v>111</v>
      </c>
      <c r="E61" s="72">
        <v>28.8</v>
      </c>
      <c r="F61" s="72"/>
      <c r="G61" s="73">
        <v>0</v>
      </c>
      <c r="H61" s="72"/>
      <c r="I61" s="73">
        <v>0</v>
      </c>
      <c r="J61" s="73"/>
      <c r="K61" s="73"/>
      <c r="L61" s="73"/>
      <c r="M61" s="73"/>
      <c r="N61" s="73"/>
      <c r="O61" s="72"/>
      <c r="P61" s="72">
        <v>0</v>
      </c>
      <c r="Q61" s="72"/>
      <c r="R61" s="72"/>
      <c r="S61" s="72"/>
      <c r="T61" s="72"/>
      <c r="U61" s="72"/>
      <c r="V61" s="73">
        <v>0</v>
      </c>
      <c r="W61" s="73">
        <v>0</v>
      </c>
      <c r="X61" s="73"/>
      <c r="Y61" s="73">
        <v>0</v>
      </c>
      <c r="Z61" s="73"/>
      <c r="AA61" s="73"/>
      <c r="AB61" s="73"/>
      <c r="AC61" s="73"/>
      <c r="AD61" s="73">
        <v>0</v>
      </c>
      <c r="AE61" s="73"/>
      <c r="AF61" s="73"/>
      <c r="AG61" s="73"/>
      <c r="AH61" s="73"/>
      <c r="AI61" s="73"/>
      <c r="AJ61" s="73"/>
      <c r="AK61" s="73">
        <v>1025</v>
      </c>
      <c r="AL61" s="73">
        <v>500</v>
      </c>
      <c r="AM61" s="73">
        <v>0</v>
      </c>
      <c r="AN61" s="73">
        <v>0</v>
      </c>
      <c r="AO61" s="73">
        <v>525</v>
      </c>
      <c r="AP61" s="73">
        <v>0</v>
      </c>
      <c r="AQ61" s="73"/>
      <c r="AR61" s="73"/>
      <c r="AS61" s="73">
        <v>500</v>
      </c>
      <c r="AT61" s="73"/>
      <c r="AU61" s="73">
        <v>0</v>
      </c>
      <c r="AV61" s="73">
        <v>525</v>
      </c>
      <c r="AW61" s="73">
        <v>0</v>
      </c>
      <c r="AX61" s="73"/>
      <c r="AY61" s="73"/>
      <c r="AZ61" s="73">
        <v>0</v>
      </c>
      <c r="BA61" s="73"/>
      <c r="BB61" s="73">
        <v>0</v>
      </c>
      <c r="BC61" s="73"/>
      <c r="BD61" s="73"/>
      <c r="BE61" s="73"/>
      <c r="BF61" s="73"/>
      <c r="BG61" s="73"/>
      <c r="BH61" s="73"/>
      <c r="BI61" s="73">
        <v>0</v>
      </c>
      <c r="BJ61" s="73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4"/>
      <c r="CG61" s="72"/>
      <c r="CH61" s="87"/>
      <c r="CI61" s="72"/>
      <c r="CJ61" s="72"/>
      <c r="CK61" s="72"/>
      <c r="CL61" s="72"/>
      <c r="CM61" s="72"/>
      <c r="CN61" s="72"/>
      <c r="CO61" s="72"/>
      <c r="CP61" s="72"/>
      <c r="CQ61" s="72">
        <v>9</v>
      </c>
      <c r="CR61" s="72"/>
      <c r="CS61" s="72">
        <v>0</v>
      </c>
      <c r="CT61" s="72">
        <v>3</v>
      </c>
      <c r="CU61" s="72">
        <v>2</v>
      </c>
      <c r="CV61" s="72">
        <v>4</v>
      </c>
      <c r="CW61" s="72"/>
      <c r="CX61" s="72"/>
      <c r="CY61" s="74"/>
      <c r="CZ61" s="72">
        <v>400</v>
      </c>
      <c r="DA61" s="72">
        <v>0</v>
      </c>
      <c r="DB61" s="72">
        <v>0</v>
      </c>
      <c r="DC61" s="72">
        <v>0</v>
      </c>
      <c r="DD61" s="72">
        <v>0</v>
      </c>
      <c r="DE61" s="72">
        <v>400</v>
      </c>
      <c r="DF61" s="72"/>
      <c r="DG61" s="72"/>
      <c r="DH61" s="72"/>
      <c r="DI61" s="72"/>
      <c r="DJ61" s="72">
        <v>20</v>
      </c>
      <c r="DK61" s="72"/>
      <c r="DL61" s="72"/>
      <c r="DM61" s="72">
        <v>6</v>
      </c>
      <c r="DN61" s="72">
        <v>4</v>
      </c>
      <c r="DO61" s="72">
        <v>10</v>
      </c>
      <c r="DP61" s="72"/>
      <c r="DQ61" s="72"/>
      <c r="DR61" s="74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>
        <v>1.5</v>
      </c>
      <c r="EK61" s="72">
        <v>0</v>
      </c>
      <c r="EL61" s="72">
        <v>0.4</v>
      </c>
      <c r="EM61" s="72">
        <v>0.2</v>
      </c>
      <c r="EN61" s="72">
        <v>0.9</v>
      </c>
      <c r="EO61" s="72"/>
      <c r="EP61" s="72"/>
      <c r="EQ61" s="72"/>
      <c r="ER61" s="74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>
        <f t="shared" si="17"/>
        <v>0</v>
      </c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7"/>
      <c r="IF61" s="78">
        <f t="shared" si="19"/>
        <v>0</v>
      </c>
      <c r="IG61" s="78">
        <f t="shared" si="20"/>
        <v>0</v>
      </c>
      <c r="IH61" s="78">
        <f t="shared" si="21"/>
        <v>0</v>
      </c>
      <c r="II61" s="78">
        <f t="shared" si="22"/>
        <v>0</v>
      </c>
      <c r="IJ61" s="78">
        <f t="shared" si="23"/>
        <v>0</v>
      </c>
      <c r="IK61" s="78">
        <f t="shared" si="18"/>
        <v>0</v>
      </c>
      <c r="IL61" s="78">
        <f t="shared" si="7"/>
        <v>0</v>
      </c>
      <c r="IM61" s="78">
        <f t="shared" si="8"/>
        <v>0</v>
      </c>
      <c r="IN61" s="79">
        <f t="shared" si="24"/>
        <v>10.5</v>
      </c>
      <c r="IO61" s="79">
        <f t="shared" si="25"/>
        <v>0</v>
      </c>
      <c r="IP61" s="79">
        <f t="shared" si="26"/>
        <v>0.4</v>
      </c>
      <c r="IQ61" s="79">
        <f t="shared" si="27"/>
        <v>3.2</v>
      </c>
      <c r="IR61" s="79">
        <f t="shared" si="28"/>
        <v>2.9</v>
      </c>
      <c r="IS61" s="79">
        <f t="shared" si="29"/>
        <v>4</v>
      </c>
      <c r="IT61" s="79">
        <f t="shared" si="30"/>
        <v>0</v>
      </c>
      <c r="IU61" s="79">
        <f t="shared" si="16"/>
        <v>0</v>
      </c>
      <c r="IV61" s="72">
        <v>8.6999999999999993</v>
      </c>
      <c r="IW61" s="80">
        <v>1</v>
      </c>
      <c r="IX61" s="72"/>
    </row>
    <row r="62" spans="1:258" s="5" customFormat="1" ht="15.95" customHeight="1">
      <c r="A62" s="70">
        <v>56</v>
      </c>
      <c r="B62" s="71" t="s">
        <v>128</v>
      </c>
      <c r="C62" s="71" t="s">
        <v>101</v>
      </c>
      <c r="D62" s="71" t="s">
        <v>111</v>
      </c>
      <c r="E62" s="72">
        <v>21.8</v>
      </c>
      <c r="F62" s="72"/>
      <c r="G62" s="73">
        <v>0</v>
      </c>
      <c r="H62" s="72"/>
      <c r="I62" s="73">
        <v>0</v>
      </c>
      <c r="J62" s="73"/>
      <c r="K62" s="73"/>
      <c r="L62" s="73"/>
      <c r="M62" s="73"/>
      <c r="N62" s="73"/>
      <c r="O62" s="72"/>
      <c r="P62" s="72">
        <v>0</v>
      </c>
      <c r="Q62" s="72"/>
      <c r="R62" s="72"/>
      <c r="S62" s="72"/>
      <c r="T62" s="72"/>
      <c r="U62" s="72"/>
      <c r="V62" s="73">
        <v>0</v>
      </c>
      <c r="W62" s="73">
        <v>0</v>
      </c>
      <c r="X62" s="73"/>
      <c r="Y62" s="73">
        <v>0</v>
      </c>
      <c r="Z62" s="73"/>
      <c r="AA62" s="73"/>
      <c r="AB62" s="73"/>
      <c r="AC62" s="73"/>
      <c r="AD62" s="73">
        <v>0</v>
      </c>
      <c r="AE62" s="73"/>
      <c r="AF62" s="73"/>
      <c r="AG62" s="73"/>
      <c r="AH62" s="73"/>
      <c r="AI62" s="73"/>
      <c r="AJ62" s="73"/>
      <c r="AK62" s="73">
        <v>500</v>
      </c>
      <c r="AL62" s="73">
        <v>500</v>
      </c>
      <c r="AM62" s="73">
        <v>0</v>
      </c>
      <c r="AN62" s="73">
        <v>0</v>
      </c>
      <c r="AO62" s="73"/>
      <c r="AP62" s="73">
        <v>0</v>
      </c>
      <c r="AQ62" s="73"/>
      <c r="AR62" s="73"/>
      <c r="AS62" s="73">
        <v>500</v>
      </c>
      <c r="AT62" s="73"/>
      <c r="AU62" s="73">
        <v>0</v>
      </c>
      <c r="AV62" s="73"/>
      <c r="AW62" s="73"/>
      <c r="AX62" s="73"/>
      <c r="AY62" s="73"/>
      <c r="AZ62" s="73">
        <v>0</v>
      </c>
      <c r="BA62" s="73"/>
      <c r="BB62" s="73">
        <v>0</v>
      </c>
      <c r="BC62" s="73">
        <v>0</v>
      </c>
      <c r="BD62" s="73"/>
      <c r="BE62" s="73"/>
      <c r="BF62" s="73"/>
      <c r="BG62" s="73"/>
      <c r="BH62" s="73"/>
      <c r="BI62" s="73">
        <v>0</v>
      </c>
      <c r="BJ62" s="73">
        <v>0</v>
      </c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4"/>
      <c r="CG62" s="72"/>
      <c r="CH62" s="87"/>
      <c r="CI62" s="72"/>
      <c r="CJ62" s="72"/>
      <c r="CK62" s="72"/>
      <c r="CL62" s="72"/>
      <c r="CM62" s="72"/>
      <c r="CN62" s="72"/>
      <c r="CO62" s="72"/>
      <c r="CP62" s="72"/>
      <c r="CQ62" s="72">
        <v>17.3</v>
      </c>
      <c r="CR62" s="72"/>
      <c r="CS62" s="72">
        <v>17.3</v>
      </c>
      <c r="CT62" s="72">
        <v>0</v>
      </c>
      <c r="CU62" s="72">
        <v>0</v>
      </c>
      <c r="CV62" s="72"/>
      <c r="CW62" s="72"/>
      <c r="CX62" s="72"/>
      <c r="CY62" s="74"/>
      <c r="CZ62" s="72">
        <v>1000</v>
      </c>
      <c r="DA62" s="72">
        <v>0</v>
      </c>
      <c r="DB62" s="72">
        <v>1000</v>
      </c>
      <c r="DC62" s="72">
        <v>0</v>
      </c>
      <c r="DD62" s="72">
        <v>0</v>
      </c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4"/>
      <c r="DS62" s="74"/>
      <c r="DT62" s="74"/>
      <c r="DU62" s="74"/>
      <c r="DV62" s="74"/>
      <c r="DW62" s="74"/>
      <c r="DX62" s="74"/>
      <c r="DY62" s="74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4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>
        <f t="shared" si="17"/>
        <v>0</v>
      </c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>
        <v>1</v>
      </c>
      <c r="HM62" s="72">
        <v>0</v>
      </c>
      <c r="HN62" s="72">
        <v>0</v>
      </c>
      <c r="HO62" s="72">
        <v>1</v>
      </c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7"/>
      <c r="IF62" s="78">
        <f t="shared" si="19"/>
        <v>0</v>
      </c>
      <c r="IG62" s="78">
        <f t="shared" si="20"/>
        <v>0</v>
      </c>
      <c r="IH62" s="78">
        <f t="shared" si="21"/>
        <v>0</v>
      </c>
      <c r="II62" s="78">
        <f t="shared" si="22"/>
        <v>0</v>
      </c>
      <c r="IJ62" s="78">
        <f t="shared" si="23"/>
        <v>0</v>
      </c>
      <c r="IK62" s="78">
        <f t="shared" si="18"/>
        <v>0</v>
      </c>
      <c r="IL62" s="78">
        <f t="shared" si="7"/>
        <v>0</v>
      </c>
      <c r="IM62" s="78">
        <f t="shared" si="8"/>
        <v>0</v>
      </c>
      <c r="IN62" s="79">
        <f t="shared" si="24"/>
        <v>17.3</v>
      </c>
      <c r="IO62" s="79">
        <f t="shared" si="25"/>
        <v>0</v>
      </c>
      <c r="IP62" s="79">
        <f t="shared" si="26"/>
        <v>17.3</v>
      </c>
      <c r="IQ62" s="79">
        <f t="shared" si="27"/>
        <v>0</v>
      </c>
      <c r="IR62" s="79">
        <f t="shared" si="28"/>
        <v>0</v>
      </c>
      <c r="IS62" s="79">
        <f t="shared" si="29"/>
        <v>0</v>
      </c>
      <c r="IT62" s="79">
        <f t="shared" si="30"/>
        <v>0</v>
      </c>
      <c r="IU62" s="79">
        <f t="shared" si="16"/>
        <v>0</v>
      </c>
      <c r="IV62" s="72">
        <v>1.1000000000000001</v>
      </c>
      <c r="IW62" s="80">
        <v>1</v>
      </c>
      <c r="IX62" s="72"/>
    </row>
    <row r="63" spans="1:258" s="5" customFormat="1" ht="15.95" customHeight="1">
      <c r="A63" s="81">
        <v>58</v>
      </c>
      <c r="B63" s="71" t="s">
        <v>129</v>
      </c>
      <c r="C63" s="71" t="s">
        <v>101</v>
      </c>
      <c r="D63" s="71" t="s">
        <v>130</v>
      </c>
      <c r="E63" s="72">
        <v>16.100000000000001</v>
      </c>
      <c r="F63" s="72"/>
      <c r="G63" s="73">
        <v>300</v>
      </c>
      <c r="H63" s="72"/>
      <c r="I63" s="73">
        <v>300</v>
      </c>
      <c r="J63" s="73">
        <v>0</v>
      </c>
      <c r="K63" s="73"/>
      <c r="L63" s="73"/>
      <c r="M63" s="73"/>
      <c r="N63" s="73"/>
      <c r="O63" s="72"/>
      <c r="P63" s="72">
        <v>300</v>
      </c>
      <c r="Q63" s="72">
        <v>0</v>
      </c>
      <c r="R63" s="72"/>
      <c r="S63" s="72"/>
      <c r="T63" s="72"/>
      <c r="U63" s="72"/>
      <c r="V63" s="73">
        <v>0</v>
      </c>
      <c r="W63" s="73">
        <v>0</v>
      </c>
      <c r="X63" s="73"/>
      <c r="Y63" s="73">
        <v>0</v>
      </c>
      <c r="Z63" s="73"/>
      <c r="AA63" s="73"/>
      <c r="AB63" s="73"/>
      <c r="AC63" s="73"/>
      <c r="AD63" s="73">
        <v>0</v>
      </c>
      <c r="AE63" s="73"/>
      <c r="AF63" s="73"/>
      <c r="AG63" s="73"/>
      <c r="AH63" s="73"/>
      <c r="AI63" s="73"/>
      <c r="AJ63" s="73"/>
      <c r="AK63" s="73">
        <v>570</v>
      </c>
      <c r="AL63" s="73">
        <v>565</v>
      </c>
      <c r="AM63" s="73">
        <v>0</v>
      </c>
      <c r="AN63" s="73">
        <v>5</v>
      </c>
      <c r="AO63" s="73"/>
      <c r="AP63" s="73">
        <v>0</v>
      </c>
      <c r="AQ63" s="73"/>
      <c r="AR63" s="73"/>
      <c r="AS63" s="73">
        <v>565</v>
      </c>
      <c r="AT63" s="73"/>
      <c r="AU63" s="73">
        <v>5</v>
      </c>
      <c r="AV63" s="73"/>
      <c r="AW63" s="73"/>
      <c r="AX63" s="73"/>
      <c r="AY63" s="73"/>
      <c r="AZ63" s="73">
        <v>20</v>
      </c>
      <c r="BA63" s="73"/>
      <c r="BB63" s="73">
        <v>20</v>
      </c>
      <c r="BC63" s="73">
        <v>0</v>
      </c>
      <c r="BD63" s="73"/>
      <c r="BE63" s="73"/>
      <c r="BF63" s="73"/>
      <c r="BG63" s="73"/>
      <c r="BH63" s="73"/>
      <c r="BI63" s="73">
        <v>20</v>
      </c>
      <c r="BJ63" s="73">
        <v>0</v>
      </c>
      <c r="BK63" s="72">
        <v>0</v>
      </c>
      <c r="BL63" s="72"/>
      <c r="BM63" s="72"/>
      <c r="BN63" s="72"/>
      <c r="BO63" s="72">
        <v>1</v>
      </c>
      <c r="BP63" s="72">
        <v>0</v>
      </c>
      <c r="BQ63" s="72">
        <v>0</v>
      </c>
      <c r="BR63" s="72">
        <v>0</v>
      </c>
      <c r="BS63" s="72"/>
      <c r="BT63" s="72">
        <v>1</v>
      </c>
      <c r="BU63" s="72"/>
      <c r="BV63" s="72"/>
      <c r="BW63" s="72"/>
      <c r="BX63" s="72">
        <v>0.2</v>
      </c>
      <c r="BY63" s="72">
        <v>0</v>
      </c>
      <c r="BZ63" s="72">
        <v>0</v>
      </c>
      <c r="CA63" s="72">
        <v>0</v>
      </c>
      <c r="CB63" s="72"/>
      <c r="CC63" s="72">
        <v>0.2</v>
      </c>
      <c r="CD63" s="72"/>
      <c r="CE63" s="72"/>
      <c r="CF63" s="74"/>
      <c r="CG63" s="72"/>
      <c r="CH63" s="87"/>
      <c r="CI63" s="72"/>
      <c r="CJ63" s="72"/>
      <c r="CK63" s="72"/>
      <c r="CL63" s="72"/>
      <c r="CM63" s="72"/>
      <c r="CN63" s="72"/>
      <c r="CO63" s="72"/>
      <c r="CP63" s="72"/>
      <c r="CQ63" s="72">
        <v>7.7</v>
      </c>
      <c r="CR63" s="72"/>
      <c r="CS63" s="72">
        <v>5</v>
      </c>
      <c r="CT63" s="72">
        <v>0.3</v>
      </c>
      <c r="CU63" s="72">
        <v>0</v>
      </c>
      <c r="CV63" s="72">
        <v>2.4</v>
      </c>
      <c r="CW63" s="72"/>
      <c r="CX63" s="72"/>
      <c r="CY63" s="74"/>
      <c r="CZ63" s="73">
        <v>2000</v>
      </c>
      <c r="DA63" s="72">
        <v>0</v>
      </c>
      <c r="DB63" s="72">
        <v>0</v>
      </c>
      <c r="DC63" s="72"/>
      <c r="DD63" s="72">
        <v>100</v>
      </c>
      <c r="DE63" s="72">
        <v>1900</v>
      </c>
      <c r="DF63" s="72"/>
      <c r="DG63" s="72"/>
      <c r="DH63" s="72"/>
      <c r="DI63" s="72">
        <v>6</v>
      </c>
      <c r="DJ63" s="72">
        <v>19</v>
      </c>
      <c r="DK63" s="72">
        <v>12</v>
      </c>
      <c r="DL63" s="72">
        <v>1</v>
      </c>
      <c r="DM63" s="72"/>
      <c r="DN63" s="72">
        <v>0</v>
      </c>
      <c r="DO63" s="72">
        <v>6</v>
      </c>
      <c r="DP63" s="72"/>
      <c r="DQ63" s="72"/>
      <c r="DR63" s="74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>
        <v>0.7</v>
      </c>
      <c r="EK63" s="72">
        <v>0</v>
      </c>
      <c r="EL63" s="72">
        <v>0.7</v>
      </c>
      <c r="EM63" s="72"/>
      <c r="EN63" s="72"/>
      <c r="EO63" s="72"/>
      <c r="EP63" s="72"/>
      <c r="EQ63" s="72"/>
      <c r="ER63" s="74"/>
      <c r="ES63" s="72">
        <v>0.2</v>
      </c>
      <c r="ET63" s="72">
        <v>0</v>
      </c>
      <c r="EU63" s="72">
        <v>0</v>
      </c>
      <c r="EV63" s="72"/>
      <c r="EW63" s="72"/>
      <c r="EX63" s="72">
        <v>0.2</v>
      </c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>
        <v>600</v>
      </c>
      <c r="FL63" s="72">
        <v>0</v>
      </c>
      <c r="FM63" s="72">
        <v>100</v>
      </c>
      <c r="FN63" s="72"/>
      <c r="FO63" s="72"/>
      <c r="FP63" s="72">
        <v>500</v>
      </c>
      <c r="FQ63" s="72"/>
      <c r="FR63" s="72"/>
      <c r="FS63" s="72">
        <f t="shared" si="17"/>
        <v>0</v>
      </c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>
        <v>1</v>
      </c>
      <c r="HM63" s="72">
        <v>0</v>
      </c>
      <c r="HN63" s="72">
        <v>0</v>
      </c>
      <c r="HO63" s="72"/>
      <c r="HP63" s="72"/>
      <c r="HQ63" s="72">
        <v>1</v>
      </c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7"/>
      <c r="IF63" s="78">
        <f t="shared" si="19"/>
        <v>0.2</v>
      </c>
      <c r="IG63" s="78">
        <f t="shared" si="20"/>
        <v>0</v>
      </c>
      <c r="IH63" s="78">
        <f t="shared" si="21"/>
        <v>0</v>
      </c>
      <c r="II63" s="78">
        <f t="shared" si="22"/>
        <v>0</v>
      </c>
      <c r="IJ63" s="78">
        <f t="shared" si="23"/>
        <v>0</v>
      </c>
      <c r="IK63" s="78">
        <f t="shared" si="18"/>
        <v>0.2</v>
      </c>
      <c r="IL63" s="78">
        <f t="shared" si="7"/>
        <v>0</v>
      </c>
      <c r="IM63" s="78">
        <f t="shared" si="8"/>
        <v>0</v>
      </c>
      <c r="IN63" s="79">
        <f t="shared" si="24"/>
        <v>8.6</v>
      </c>
      <c r="IO63" s="79">
        <f t="shared" si="25"/>
        <v>0</v>
      </c>
      <c r="IP63" s="79">
        <f t="shared" si="26"/>
        <v>5.7</v>
      </c>
      <c r="IQ63" s="79">
        <f t="shared" si="27"/>
        <v>0.3</v>
      </c>
      <c r="IR63" s="79">
        <f t="shared" si="28"/>
        <v>0</v>
      </c>
      <c r="IS63" s="79">
        <f t="shared" si="29"/>
        <v>2.6</v>
      </c>
      <c r="IT63" s="79">
        <f t="shared" si="30"/>
        <v>0</v>
      </c>
      <c r="IU63" s="79">
        <f t="shared" si="16"/>
        <v>0</v>
      </c>
      <c r="IV63" s="72">
        <v>2.5</v>
      </c>
      <c r="IW63" s="80">
        <v>1</v>
      </c>
      <c r="IX63" s="72"/>
    </row>
    <row r="64" spans="1:258" s="5" customFormat="1" ht="15.95" customHeight="1">
      <c r="A64" s="70">
        <v>59</v>
      </c>
      <c r="B64" s="71" t="s">
        <v>131</v>
      </c>
      <c r="C64" s="71" t="s">
        <v>101</v>
      </c>
      <c r="D64" s="71" t="s">
        <v>130</v>
      </c>
      <c r="E64" s="72">
        <v>86.7</v>
      </c>
      <c r="F64" s="72"/>
      <c r="G64" s="73">
        <v>0</v>
      </c>
      <c r="H64" s="72"/>
      <c r="I64" s="73">
        <v>0</v>
      </c>
      <c r="J64" s="73"/>
      <c r="K64" s="73"/>
      <c r="L64" s="73"/>
      <c r="M64" s="73"/>
      <c r="N64" s="73"/>
      <c r="O64" s="72"/>
      <c r="P64" s="72">
        <v>0</v>
      </c>
      <c r="Q64" s="72"/>
      <c r="R64" s="72"/>
      <c r="S64" s="72"/>
      <c r="T64" s="72"/>
      <c r="U64" s="72"/>
      <c r="V64" s="73">
        <v>60</v>
      </c>
      <c r="W64" s="73">
        <v>0</v>
      </c>
      <c r="X64" s="73"/>
      <c r="Y64" s="73">
        <v>60</v>
      </c>
      <c r="Z64" s="73"/>
      <c r="AA64" s="73"/>
      <c r="AB64" s="73"/>
      <c r="AC64" s="73"/>
      <c r="AD64" s="73">
        <v>0</v>
      </c>
      <c r="AE64" s="73"/>
      <c r="AF64" s="73"/>
      <c r="AG64" s="73"/>
      <c r="AH64" s="73">
        <v>60</v>
      </c>
      <c r="AI64" s="73"/>
      <c r="AJ64" s="73"/>
      <c r="AK64" s="73">
        <v>1930</v>
      </c>
      <c r="AL64" s="73">
        <v>965</v>
      </c>
      <c r="AM64" s="73">
        <v>0</v>
      </c>
      <c r="AN64" s="73"/>
      <c r="AO64" s="73">
        <v>965</v>
      </c>
      <c r="AP64" s="73">
        <v>0</v>
      </c>
      <c r="AQ64" s="73"/>
      <c r="AR64" s="73"/>
      <c r="AS64" s="73">
        <v>965</v>
      </c>
      <c r="AT64" s="73"/>
      <c r="AU64" s="73"/>
      <c r="AV64" s="73">
        <v>965</v>
      </c>
      <c r="AW64" s="73"/>
      <c r="AX64" s="73"/>
      <c r="AY64" s="73"/>
      <c r="AZ64" s="73">
        <v>0</v>
      </c>
      <c r="BA64" s="73"/>
      <c r="BB64" s="73">
        <v>0</v>
      </c>
      <c r="BC64" s="73">
        <v>0</v>
      </c>
      <c r="BD64" s="73"/>
      <c r="BE64" s="73"/>
      <c r="BF64" s="73"/>
      <c r="BG64" s="73"/>
      <c r="BH64" s="73"/>
      <c r="BI64" s="73">
        <v>0</v>
      </c>
      <c r="BJ64" s="73">
        <v>0</v>
      </c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4"/>
      <c r="CG64" s="72"/>
      <c r="CH64" s="87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4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4"/>
      <c r="DS64" s="74"/>
      <c r="DT64" s="74"/>
      <c r="DU64" s="74"/>
      <c r="DV64" s="74"/>
      <c r="DW64" s="74"/>
      <c r="DX64" s="74"/>
      <c r="DY64" s="74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4"/>
      <c r="ES64" s="72">
        <v>0.9</v>
      </c>
      <c r="ET64" s="72">
        <v>0.9</v>
      </c>
      <c r="EU64" s="72">
        <v>0</v>
      </c>
      <c r="EV64" s="72">
        <v>0</v>
      </c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>
        <f t="shared" si="17"/>
        <v>0</v>
      </c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>
        <v>1.4</v>
      </c>
      <c r="GU64" s="72">
        <v>1.4</v>
      </c>
      <c r="GV64" s="72">
        <v>0</v>
      </c>
      <c r="GW64" s="72">
        <v>0</v>
      </c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7"/>
      <c r="IF64" s="78">
        <f t="shared" si="19"/>
        <v>1.4</v>
      </c>
      <c r="IG64" s="78">
        <f t="shared" si="20"/>
        <v>1.4</v>
      </c>
      <c r="IH64" s="78">
        <f t="shared" si="21"/>
        <v>0</v>
      </c>
      <c r="II64" s="78">
        <f t="shared" si="22"/>
        <v>0</v>
      </c>
      <c r="IJ64" s="78">
        <f t="shared" si="23"/>
        <v>0</v>
      </c>
      <c r="IK64" s="78">
        <f t="shared" si="18"/>
        <v>0</v>
      </c>
      <c r="IL64" s="78">
        <f t="shared" si="7"/>
        <v>0</v>
      </c>
      <c r="IM64" s="78">
        <f t="shared" si="8"/>
        <v>0</v>
      </c>
      <c r="IN64" s="79">
        <f t="shared" si="24"/>
        <v>0.9</v>
      </c>
      <c r="IO64" s="79">
        <f t="shared" si="25"/>
        <v>0.9</v>
      </c>
      <c r="IP64" s="79">
        <f t="shared" si="26"/>
        <v>0</v>
      </c>
      <c r="IQ64" s="79">
        <f t="shared" si="27"/>
        <v>0</v>
      </c>
      <c r="IR64" s="79">
        <f t="shared" si="28"/>
        <v>0</v>
      </c>
      <c r="IS64" s="79">
        <f t="shared" si="29"/>
        <v>0</v>
      </c>
      <c r="IT64" s="79">
        <f t="shared" si="30"/>
        <v>0</v>
      </c>
      <c r="IU64" s="79">
        <f t="shared" si="16"/>
        <v>0</v>
      </c>
      <c r="IV64" s="72">
        <v>3.7</v>
      </c>
      <c r="IW64" s="80">
        <v>1</v>
      </c>
      <c r="IX64" s="72"/>
    </row>
    <row r="65" spans="1:258" s="5" customFormat="1" ht="15.95" customHeight="1">
      <c r="A65" s="70">
        <v>60</v>
      </c>
      <c r="B65" s="71" t="s">
        <v>132</v>
      </c>
      <c r="C65" s="71" t="s">
        <v>101</v>
      </c>
      <c r="D65" s="71" t="s">
        <v>130</v>
      </c>
      <c r="E65" s="72">
        <v>23.1</v>
      </c>
      <c r="F65" s="72"/>
      <c r="G65" s="73">
        <v>210</v>
      </c>
      <c r="H65" s="72"/>
      <c r="I65" s="73">
        <v>210</v>
      </c>
      <c r="J65" s="73"/>
      <c r="K65" s="73"/>
      <c r="L65" s="73"/>
      <c r="M65" s="73"/>
      <c r="N65" s="73"/>
      <c r="O65" s="72"/>
      <c r="P65" s="72">
        <v>210</v>
      </c>
      <c r="Q65" s="72"/>
      <c r="R65" s="72"/>
      <c r="S65" s="72"/>
      <c r="T65" s="72"/>
      <c r="U65" s="72"/>
      <c r="V65" s="73">
        <v>0</v>
      </c>
      <c r="W65" s="73">
        <v>0</v>
      </c>
      <c r="X65" s="73"/>
      <c r="Y65" s="73">
        <v>0</v>
      </c>
      <c r="Z65" s="73"/>
      <c r="AA65" s="73"/>
      <c r="AB65" s="73"/>
      <c r="AC65" s="73"/>
      <c r="AD65" s="73">
        <v>0</v>
      </c>
      <c r="AE65" s="73"/>
      <c r="AF65" s="73"/>
      <c r="AG65" s="73"/>
      <c r="AH65" s="73"/>
      <c r="AI65" s="73"/>
      <c r="AJ65" s="73"/>
      <c r="AK65" s="73">
        <v>790</v>
      </c>
      <c r="AL65" s="73">
        <v>94</v>
      </c>
      <c r="AM65" s="73">
        <v>0</v>
      </c>
      <c r="AN65" s="73">
        <v>50</v>
      </c>
      <c r="AO65" s="73">
        <v>646</v>
      </c>
      <c r="AP65" s="73">
        <v>0</v>
      </c>
      <c r="AQ65" s="73"/>
      <c r="AR65" s="73"/>
      <c r="AS65" s="73">
        <v>94</v>
      </c>
      <c r="AT65" s="73"/>
      <c r="AU65" s="73">
        <v>50</v>
      </c>
      <c r="AV65" s="73">
        <v>646</v>
      </c>
      <c r="AW65" s="73">
        <v>0</v>
      </c>
      <c r="AX65" s="73"/>
      <c r="AY65" s="73"/>
      <c r="AZ65" s="73">
        <v>0</v>
      </c>
      <c r="BA65" s="73"/>
      <c r="BB65" s="73">
        <v>0</v>
      </c>
      <c r="BC65" s="73">
        <v>0</v>
      </c>
      <c r="BD65" s="73"/>
      <c r="BE65" s="73"/>
      <c r="BF65" s="73"/>
      <c r="BG65" s="73"/>
      <c r="BH65" s="73"/>
      <c r="BI65" s="73">
        <v>0</v>
      </c>
      <c r="BJ65" s="73">
        <v>0</v>
      </c>
      <c r="BK65" s="72"/>
      <c r="BL65" s="72"/>
      <c r="BM65" s="72"/>
      <c r="BN65" s="72"/>
      <c r="BO65" s="72">
        <v>1</v>
      </c>
      <c r="BP65" s="72">
        <v>0</v>
      </c>
      <c r="BQ65" s="72">
        <v>0</v>
      </c>
      <c r="BR65" s="72"/>
      <c r="BS65" s="72"/>
      <c r="BT65" s="72">
        <v>1</v>
      </c>
      <c r="BU65" s="72"/>
      <c r="BV65" s="72"/>
      <c r="BW65" s="72"/>
      <c r="BX65" s="72">
        <v>0.5</v>
      </c>
      <c r="BY65" s="72">
        <v>0</v>
      </c>
      <c r="BZ65" s="72">
        <v>0</v>
      </c>
      <c r="CA65" s="72">
        <v>0</v>
      </c>
      <c r="CB65" s="72"/>
      <c r="CC65" s="72">
        <v>0.5</v>
      </c>
      <c r="CD65" s="72"/>
      <c r="CE65" s="72"/>
      <c r="CF65" s="74"/>
      <c r="CG65" s="72"/>
      <c r="CH65" s="87"/>
      <c r="CI65" s="72"/>
      <c r="CJ65" s="72"/>
      <c r="CK65" s="72"/>
      <c r="CL65" s="72"/>
      <c r="CM65" s="72"/>
      <c r="CN65" s="72"/>
      <c r="CO65" s="72"/>
      <c r="CP65" s="72"/>
      <c r="CQ65" s="72">
        <v>3.9</v>
      </c>
      <c r="CR65" s="72"/>
      <c r="CS65" s="72">
        <v>0</v>
      </c>
      <c r="CT65" s="72">
        <v>1</v>
      </c>
      <c r="CU65" s="72">
        <v>1</v>
      </c>
      <c r="CV65" s="72">
        <v>1.9</v>
      </c>
      <c r="CW65" s="72"/>
      <c r="CX65" s="72"/>
      <c r="CY65" s="74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4"/>
      <c r="DS65" s="74"/>
      <c r="DT65" s="74"/>
      <c r="DU65" s="74"/>
      <c r="DV65" s="74"/>
      <c r="DW65" s="74"/>
      <c r="DX65" s="74"/>
      <c r="DY65" s="74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>
        <v>1.7</v>
      </c>
      <c r="EK65" s="72">
        <v>0</v>
      </c>
      <c r="EL65" s="72">
        <v>1</v>
      </c>
      <c r="EM65" s="72">
        <v>0</v>
      </c>
      <c r="EN65" s="72">
        <v>0.7</v>
      </c>
      <c r="EO65" s="72"/>
      <c r="EP65" s="72"/>
      <c r="EQ65" s="72"/>
      <c r="ER65" s="74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>
        <f t="shared" si="17"/>
        <v>0</v>
      </c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72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72"/>
      <c r="HI65" s="72"/>
      <c r="HJ65" s="72"/>
      <c r="HK65" s="72"/>
      <c r="HL65" s="72"/>
      <c r="HM65" s="72"/>
      <c r="HN65" s="72"/>
      <c r="HO65" s="72"/>
      <c r="HP65" s="72"/>
      <c r="HQ65" s="72"/>
      <c r="HR65" s="72"/>
      <c r="HS65" s="72"/>
      <c r="HT65" s="72"/>
      <c r="HU65" s="72"/>
      <c r="HV65" s="72"/>
      <c r="HW65" s="72"/>
      <c r="HX65" s="72"/>
      <c r="HY65" s="72"/>
      <c r="HZ65" s="72"/>
      <c r="IA65" s="72"/>
      <c r="IB65" s="72"/>
      <c r="IC65" s="72"/>
      <c r="ID65" s="72"/>
      <c r="IE65" s="77"/>
      <c r="IF65" s="78">
        <f t="shared" si="19"/>
        <v>0.5</v>
      </c>
      <c r="IG65" s="78">
        <f t="shared" si="20"/>
        <v>0</v>
      </c>
      <c r="IH65" s="78">
        <f t="shared" si="21"/>
        <v>0</v>
      </c>
      <c r="II65" s="78">
        <f t="shared" si="22"/>
        <v>0</v>
      </c>
      <c r="IJ65" s="78">
        <f t="shared" si="23"/>
        <v>0</v>
      </c>
      <c r="IK65" s="78">
        <f t="shared" si="18"/>
        <v>0.5</v>
      </c>
      <c r="IL65" s="78">
        <f t="shared" si="7"/>
        <v>0</v>
      </c>
      <c r="IM65" s="78">
        <f t="shared" si="8"/>
        <v>0</v>
      </c>
      <c r="IN65" s="79">
        <f t="shared" si="24"/>
        <v>5.6</v>
      </c>
      <c r="IO65" s="79">
        <f t="shared" si="25"/>
        <v>0</v>
      </c>
      <c r="IP65" s="79">
        <f t="shared" si="26"/>
        <v>1</v>
      </c>
      <c r="IQ65" s="79">
        <f t="shared" si="27"/>
        <v>1</v>
      </c>
      <c r="IR65" s="79">
        <f t="shared" si="28"/>
        <v>1.7</v>
      </c>
      <c r="IS65" s="79">
        <f t="shared" si="29"/>
        <v>1.9</v>
      </c>
      <c r="IT65" s="79">
        <f t="shared" si="30"/>
        <v>0</v>
      </c>
      <c r="IU65" s="79">
        <f t="shared" si="16"/>
        <v>0</v>
      </c>
      <c r="IV65" s="72">
        <v>3.4</v>
      </c>
      <c r="IW65" s="80">
        <v>1</v>
      </c>
      <c r="IX65" s="72"/>
    </row>
    <row r="66" spans="1:258" s="5" customFormat="1" ht="15.95" customHeight="1">
      <c r="A66" s="70">
        <v>61</v>
      </c>
      <c r="B66" s="71" t="s">
        <v>133</v>
      </c>
      <c r="C66" s="71" t="s">
        <v>101</v>
      </c>
      <c r="D66" s="71" t="s">
        <v>130</v>
      </c>
      <c r="E66" s="72">
        <v>23.1</v>
      </c>
      <c r="F66" s="72"/>
      <c r="G66" s="73">
        <v>0</v>
      </c>
      <c r="H66" s="72"/>
      <c r="I66" s="73">
        <v>0</v>
      </c>
      <c r="J66" s="73"/>
      <c r="K66" s="73"/>
      <c r="L66" s="73"/>
      <c r="M66" s="73"/>
      <c r="N66" s="73"/>
      <c r="O66" s="72"/>
      <c r="P66" s="72">
        <v>0</v>
      </c>
      <c r="Q66" s="72"/>
      <c r="R66" s="72"/>
      <c r="S66" s="72"/>
      <c r="T66" s="72"/>
      <c r="U66" s="72"/>
      <c r="V66" s="73">
        <v>0</v>
      </c>
      <c r="W66" s="73">
        <v>0</v>
      </c>
      <c r="X66" s="73"/>
      <c r="Y66" s="73">
        <v>0</v>
      </c>
      <c r="Z66" s="73"/>
      <c r="AA66" s="73"/>
      <c r="AB66" s="73"/>
      <c r="AC66" s="73"/>
      <c r="AD66" s="73">
        <v>0</v>
      </c>
      <c r="AE66" s="73"/>
      <c r="AF66" s="73"/>
      <c r="AG66" s="73"/>
      <c r="AH66" s="73"/>
      <c r="AI66" s="73"/>
      <c r="AJ66" s="73"/>
      <c r="AK66" s="73">
        <v>0</v>
      </c>
      <c r="AL66" s="73">
        <v>0</v>
      </c>
      <c r="AM66" s="73">
        <v>0</v>
      </c>
      <c r="AN66" s="73"/>
      <c r="AO66" s="73"/>
      <c r="AP66" s="73">
        <v>0</v>
      </c>
      <c r="AQ66" s="73"/>
      <c r="AR66" s="73"/>
      <c r="AS66" s="73">
        <v>0</v>
      </c>
      <c r="AT66" s="73"/>
      <c r="AU66" s="73"/>
      <c r="AV66" s="73"/>
      <c r="AW66" s="73"/>
      <c r="AX66" s="73"/>
      <c r="AY66" s="73"/>
      <c r="AZ66" s="73">
        <v>0</v>
      </c>
      <c r="BA66" s="73"/>
      <c r="BB66" s="73">
        <v>0</v>
      </c>
      <c r="BC66" s="73"/>
      <c r="BD66" s="73"/>
      <c r="BE66" s="73"/>
      <c r="BF66" s="73"/>
      <c r="BG66" s="73"/>
      <c r="BH66" s="73"/>
      <c r="BI66" s="73">
        <v>0</v>
      </c>
      <c r="BJ66" s="73"/>
      <c r="BK66" s="72"/>
      <c r="BL66" s="72"/>
      <c r="BM66" s="72"/>
      <c r="BN66" s="72"/>
      <c r="BO66" s="72">
        <v>1</v>
      </c>
      <c r="BP66" s="72">
        <v>0</v>
      </c>
      <c r="BQ66" s="72">
        <v>0</v>
      </c>
      <c r="BR66" s="72">
        <v>1</v>
      </c>
      <c r="BS66" s="72"/>
      <c r="BT66" s="72"/>
      <c r="BU66" s="72"/>
      <c r="BV66" s="72"/>
      <c r="BW66" s="72"/>
      <c r="BX66" s="72">
        <v>0.5</v>
      </c>
      <c r="BY66" s="72">
        <v>0</v>
      </c>
      <c r="BZ66" s="72">
        <v>0</v>
      </c>
      <c r="CA66" s="72">
        <v>0</v>
      </c>
      <c r="CB66" s="72"/>
      <c r="CC66" s="72">
        <v>0.5</v>
      </c>
      <c r="CD66" s="72"/>
      <c r="CE66" s="72"/>
      <c r="CF66" s="74"/>
      <c r="CG66" s="72"/>
      <c r="CH66" s="87"/>
      <c r="CI66" s="72"/>
      <c r="CJ66" s="72"/>
      <c r="CK66" s="72"/>
      <c r="CL66" s="72"/>
      <c r="CM66" s="72"/>
      <c r="CN66" s="72"/>
      <c r="CO66" s="72"/>
      <c r="CP66" s="72"/>
      <c r="CQ66" s="72">
        <v>3.9</v>
      </c>
      <c r="CR66" s="72"/>
      <c r="CS66" s="72">
        <v>0</v>
      </c>
      <c r="CT66" s="72">
        <v>1</v>
      </c>
      <c r="CU66" s="72">
        <v>1</v>
      </c>
      <c r="CV66" s="72">
        <v>1.9</v>
      </c>
      <c r="CW66" s="72"/>
      <c r="CX66" s="72"/>
      <c r="CY66" s="74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4"/>
      <c r="DS66" s="74"/>
      <c r="DT66" s="74"/>
      <c r="DU66" s="74"/>
      <c r="DV66" s="74"/>
      <c r="DW66" s="74"/>
      <c r="DX66" s="74"/>
      <c r="DY66" s="74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>
        <v>1.7</v>
      </c>
      <c r="EK66" s="72">
        <v>0</v>
      </c>
      <c r="EL66" s="72"/>
      <c r="EM66" s="72">
        <v>0</v>
      </c>
      <c r="EN66" s="72">
        <v>1</v>
      </c>
      <c r="EO66" s="72">
        <v>0.7</v>
      </c>
      <c r="EP66" s="72"/>
      <c r="EQ66" s="72"/>
      <c r="ER66" s="74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>
        <f t="shared" si="17"/>
        <v>0</v>
      </c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72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72"/>
      <c r="HI66" s="72"/>
      <c r="HJ66" s="72"/>
      <c r="HK66" s="72"/>
      <c r="HL66" s="72"/>
      <c r="HM66" s="72"/>
      <c r="HN66" s="72"/>
      <c r="HO66" s="72"/>
      <c r="HP66" s="72"/>
      <c r="HQ66" s="72"/>
      <c r="HR66" s="72"/>
      <c r="HS66" s="72"/>
      <c r="HT66" s="72"/>
      <c r="HU66" s="72"/>
      <c r="HV66" s="72"/>
      <c r="HW66" s="72"/>
      <c r="HX66" s="72"/>
      <c r="HY66" s="72"/>
      <c r="HZ66" s="72"/>
      <c r="IA66" s="72"/>
      <c r="IB66" s="72"/>
      <c r="IC66" s="72"/>
      <c r="ID66" s="72"/>
      <c r="IE66" s="77"/>
      <c r="IF66" s="78">
        <f t="shared" si="19"/>
        <v>0.5</v>
      </c>
      <c r="IG66" s="78">
        <f t="shared" si="20"/>
        <v>0</v>
      </c>
      <c r="IH66" s="78">
        <f t="shared" si="21"/>
        <v>0</v>
      </c>
      <c r="II66" s="78">
        <f t="shared" si="22"/>
        <v>0</v>
      </c>
      <c r="IJ66" s="78">
        <f t="shared" si="23"/>
        <v>0</v>
      </c>
      <c r="IK66" s="78">
        <f t="shared" si="18"/>
        <v>0.5</v>
      </c>
      <c r="IL66" s="78">
        <f t="shared" si="7"/>
        <v>0</v>
      </c>
      <c r="IM66" s="78">
        <f t="shared" si="8"/>
        <v>0</v>
      </c>
      <c r="IN66" s="79">
        <f t="shared" si="24"/>
        <v>5.6</v>
      </c>
      <c r="IO66" s="79">
        <f t="shared" si="25"/>
        <v>0</v>
      </c>
      <c r="IP66" s="79">
        <f t="shared" si="26"/>
        <v>0</v>
      </c>
      <c r="IQ66" s="79">
        <f t="shared" si="27"/>
        <v>1</v>
      </c>
      <c r="IR66" s="79">
        <f t="shared" si="28"/>
        <v>2</v>
      </c>
      <c r="IS66" s="79">
        <f t="shared" si="29"/>
        <v>2.5999999999999996</v>
      </c>
      <c r="IT66" s="79">
        <f t="shared" si="30"/>
        <v>0</v>
      </c>
      <c r="IU66" s="79">
        <f t="shared" si="16"/>
        <v>0</v>
      </c>
      <c r="IV66" s="72">
        <v>3.4</v>
      </c>
      <c r="IW66" s="80">
        <v>1</v>
      </c>
      <c r="IX66" s="72"/>
    </row>
    <row r="67" spans="1:258" s="5" customFormat="1" ht="15.95" customHeight="1">
      <c r="A67" s="81">
        <v>62</v>
      </c>
      <c r="B67" s="71" t="s">
        <v>134</v>
      </c>
      <c r="C67" s="71" t="s">
        <v>101</v>
      </c>
      <c r="D67" s="71" t="s">
        <v>130</v>
      </c>
      <c r="E67" s="72">
        <v>23.1</v>
      </c>
      <c r="F67" s="72"/>
      <c r="G67" s="73">
        <v>0</v>
      </c>
      <c r="H67" s="72"/>
      <c r="I67" s="73">
        <v>0</v>
      </c>
      <c r="J67" s="73"/>
      <c r="K67" s="73"/>
      <c r="L67" s="73"/>
      <c r="M67" s="73"/>
      <c r="N67" s="73"/>
      <c r="O67" s="72"/>
      <c r="P67" s="72">
        <v>0</v>
      </c>
      <c r="Q67" s="72"/>
      <c r="R67" s="72"/>
      <c r="S67" s="72"/>
      <c r="T67" s="72"/>
      <c r="U67" s="72"/>
      <c r="V67" s="73">
        <v>0</v>
      </c>
      <c r="W67" s="73">
        <v>0</v>
      </c>
      <c r="X67" s="73"/>
      <c r="Y67" s="73">
        <v>0</v>
      </c>
      <c r="Z67" s="73"/>
      <c r="AA67" s="73"/>
      <c r="AB67" s="73"/>
      <c r="AC67" s="73"/>
      <c r="AD67" s="73">
        <v>0</v>
      </c>
      <c r="AE67" s="73"/>
      <c r="AF67" s="73"/>
      <c r="AG67" s="73"/>
      <c r="AH67" s="73"/>
      <c r="AI67" s="73"/>
      <c r="AJ67" s="73"/>
      <c r="AK67" s="73">
        <v>392</v>
      </c>
      <c r="AL67" s="73">
        <v>0</v>
      </c>
      <c r="AM67" s="73">
        <v>0</v>
      </c>
      <c r="AN67" s="73"/>
      <c r="AO67" s="73">
        <v>392</v>
      </c>
      <c r="AP67" s="73">
        <v>0</v>
      </c>
      <c r="AQ67" s="73"/>
      <c r="AR67" s="73"/>
      <c r="AS67" s="73">
        <v>0</v>
      </c>
      <c r="AT67" s="73"/>
      <c r="AU67" s="73"/>
      <c r="AV67" s="73"/>
      <c r="AW67" s="73">
        <v>392</v>
      </c>
      <c r="AX67" s="73"/>
      <c r="AY67" s="73"/>
      <c r="AZ67" s="73">
        <v>0</v>
      </c>
      <c r="BA67" s="73"/>
      <c r="BB67" s="73">
        <v>0</v>
      </c>
      <c r="BC67" s="73"/>
      <c r="BD67" s="73"/>
      <c r="BE67" s="73"/>
      <c r="BF67" s="73"/>
      <c r="BG67" s="73"/>
      <c r="BH67" s="73"/>
      <c r="BI67" s="73">
        <v>0</v>
      </c>
      <c r="BJ67" s="73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4"/>
      <c r="CG67" s="72"/>
      <c r="CH67" s="87"/>
      <c r="CI67" s="72"/>
      <c r="CJ67" s="72"/>
      <c r="CK67" s="72"/>
      <c r="CL67" s="72"/>
      <c r="CM67" s="72"/>
      <c r="CN67" s="72"/>
      <c r="CO67" s="72"/>
      <c r="CP67" s="72"/>
      <c r="CQ67" s="72">
        <v>3.9</v>
      </c>
      <c r="CR67" s="72"/>
      <c r="CS67" s="72">
        <v>0</v>
      </c>
      <c r="CT67" s="72">
        <v>1</v>
      </c>
      <c r="CU67" s="72">
        <v>1</v>
      </c>
      <c r="CV67" s="72">
        <v>1.9</v>
      </c>
      <c r="CW67" s="72"/>
      <c r="CX67" s="72"/>
      <c r="CY67" s="74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4"/>
      <c r="DS67" s="74"/>
      <c r="DT67" s="74"/>
      <c r="DU67" s="74"/>
      <c r="DV67" s="74"/>
      <c r="DW67" s="74"/>
      <c r="DX67" s="74"/>
      <c r="DY67" s="74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>
        <v>1.7</v>
      </c>
      <c r="EK67" s="72">
        <v>0</v>
      </c>
      <c r="EL67" s="72">
        <v>0</v>
      </c>
      <c r="EM67" s="72">
        <v>0</v>
      </c>
      <c r="EN67" s="72">
        <v>1</v>
      </c>
      <c r="EO67" s="72">
        <v>0.7</v>
      </c>
      <c r="EP67" s="72"/>
      <c r="EQ67" s="72"/>
      <c r="ER67" s="74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>
        <f t="shared" si="17"/>
        <v>0</v>
      </c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72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/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2"/>
      <c r="HI67" s="72"/>
      <c r="HJ67" s="72"/>
      <c r="HK67" s="72"/>
      <c r="HL67" s="72"/>
      <c r="HM67" s="72"/>
      <c r="HN67" s="72"/>
      <c r="HO67" s="72"/>
      <c r="HP67" s="72"/>
      <c r="HQ67" s="72"/>
      <c r="HR67" s="72"/>
      <c r="HS67" s="72"/>
      <c r="HT67" s="72"/>
      <c r="HU67" s="72"/>
      <c r="HV67" s="72"/>
      <c r="HW67" s="72"/>
      <c r="HX67" s="72"/>
      <c r="HY67" s="72"/>
      <c r="HZ67" s="72"/>
      <c r="IA67" s="72"/>
      <c r="IB67" s="72"/>
      <c r="IC67" s="72"/>
      <c r="ID67" s="72"/>
      <c r="IE67" s="77"/>
      <c r="IF67" s="78">
        <f t="shared" si="19"/>
        <v>0</v>
      </c>
      <c r="IG67" s="78">
        <f t="shared" si="20"/>
        <v>0</v>
      </c>
      <c r="IH67" s="78">
        <f t="shared" si="21"/>
        <v>0</v>
      </c>
      <c r="II67" s="78">
        <f t="shared" si="22"/>
        <v>0</v>
      </c>
      <c r="IJ67" s="78">
        <f t="shared" si="23"/>
        <v>0</v>
      </c>
      <c r="IK67" s="78">
        <f t="shared" si="18"/>
        <v>0</v>
      </c>
      <c r="IL67" s="78">
        <f t="shared" si="7"/>
        <v>0</v>
      </c>
      <c r="IM67" s="78">
        <f t="shared" si="8"/>
        <v>0</v>
      </c>
      <c r="IN67" s="79">
        <f t="shared" si="24"/>
        <v>5.6</v>
      </c>
      <c r="IO67" s="79">
        <f t="shared" si="25"/>
        <v>0</v>
      </c>
      <c r="IP67" s="79">
        <f t="shared" si="26"/>
        <v>0</v>
      </c>
      <c r="IQ67" s="79">
        <f t="shared" si="27"/>
        <v>1</v>
      </c>
      <c r="IR67" s="79">
        <f t="shared" si="28"/>
        <v>2</v>
      </c>
      <c r="IS67" s="79">
        <f t="shared" si="29"/>
        <v>2.5999999999999996</v>
      </c>
      <c r="IT67" s="79">
        <f t="shared" si="30"/>
        <v>0</v>
      </c>
      <c r="IU67" s="79">
        <f t="shared" si="16"/>
        <v>0</v>
      </c>
      <c r="IV67" s="72">
        <v>3.4</v>
      </c>
      <c r="IW67" s="80">
        <v>1</v>
      </c>
      <c r="IX67" s="72"/>
    </row>
    <row r="68" spans="1:258" s="5" customFormat="1" ht="15.95" customHeight="1">
      <c r="A68" s="70">
        <v>111</v>
      </c>
      <c r="B68" s="71" t="s">
        <v>135</v>
      </c>
      <c r="C68" s="71" t="s">
        <v>101</v>
      </c>
      <c r="D68" s="71" t="s">
        <v>115</v>
      </c>
      <c r="E68" s="72">
        <v>84.1</v>
      </c>
      <c r="F68" s="72"/>
      <c r="G68" s="73">
        <v>200</v>
      </c>
      <c r="H68" s="72"/>
      <c r="I68" s="73">
        <v>200</v>
      </c>
      <c r="J68" s="73"/>
      <c r="K68" s="73"/>
      <c r="L68" s="73"/>
      <c r="M68" s="73"/>
      <c r="N68" s="73"/>
      <c r="O68" s="72"/>
      <c r="P68" s="72">
        <v>200</v>
      </c>
      <c r="Q68" s="72"/>
      <c r="R68" s="72"/>
      <c r="S68" s="72"/>
      <c r="T68" s="72"/>
      <c r="U68" s="72"/>
      <c r="V68" s="73">
        <v>0</v>
      </c>
      <c r="W68" s="73">
        <v>0</v>
      </c>
      <c r="X68" s="73"/>
      <c r="Y68" s="73">
        <v>0</v>
      </c>
      <c r="Z68" s="73"/>
      <c r="AA68" s="73"/>
      <c r="AB68" s="73"/>
      <c r="AC68" s="73"/>
      <c r="AD68" s="73">
        <v>0</v>
      </c>
      <c r="AE68" s="73"/>
      <c r="AF68" s="73"/>
      <c r="AG68" s="73"/>
      <c r="AH68" s="73"/>
      <c r="AI68" s="73"/>
      <c r="AJ68" s="73"/>
      <c r="AK68" s="73">
        <v>800</v>
      </c>
      <c r="AL68" s="73">
        <v>800</v>
      </c>
      <c r="AM68" s="73">
        <v>0</v>
      </c>
      <c r="AN68" s="73">
        <v>0</v>
      </c>
      <c r="AO68" s="73"/>
      <c r="AP68" s="73">
        <v>0</v>
      </c>
      <c r="AQ68" s="73"/>
      <c r="AR68" s="73"/>
      <c r="AS68" s="73">
        <v>800</v>
      </c>
      <c r="AT68" s="73"/>
      <c r="AU68" s="73">
        <v>0</v>
      </c>
      <c r="AV68" s="73"/>
      <c r="AW68" s="73"/>
      <c r="AX68" s="73"/>
      <c r="AY68" s="73"/>
      <c r="AZ68" s="73">
        <v>30</v>
      </c>
      <c r="BA68" s="73"/>
      <c r="BB68" s="73">
        <v>30</v>
      </c>
      <c r="BC68" s="73"/>
      <c r="BD68" s="73"/>
      <c r="BE68" s="73"/>
      <c r="BF68" s="73"/>
      <c r="BG68" s="73"/>
      <c r="BH68" s="73"/>
      <c r="BI68" s="73">
        <v>30</v>
      </c>
      <c r="BJ68" s="73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4"/>
      <c r="CG68" s="72"/>
      <c r="CH68" s="87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4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4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>
        <v>4</v>
      </c>
      <c r="EK68" s="72">
        <v>4</v>
      </c>
      <c r="EL68" s="72">
        <v>0</v>
      </c>
      <c r="EM68" s="72">
        <v>0</v>
      </c>
      <c r="EN68" s="72"/>
      <c r="EO68" s="72"/>
      <c r="EP68" s="72"/>
      <c r="EQ68" s="72"/>
      <c r="ER68" s="74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>
        <f t="shared" si="17"/>
        <v>0</v>
      </c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7"/>
      <c r="IF68" s="78">
        <f t="shared" si="19"/>
        <v>0</v>
      </c>
      <c r="IG68" s="78">
        <f t="shared" si="20"/>
        <v>0</v>
      </c>
      <c r="IH68" s="78">
        <f t="shared" si="21"/>
        <v>0</v>
      </c>
      <c r="II68" s="78">
        <f t="shared" si="22"/>
        <v>0</v>
      </c>
      <c r="IJ68" s="78">
        <f t="shared" si="23"/>
        <v>0</v>
      </c>
      <c r="IK68" s="78">
        <f t="shared" si="18"/>
        <v>0</v>
      </c>
      <c r="IL68" s="78">
        <f t="shared" si="7"/>
        <v>0</v>
      </c>
      <c r="IM68" s="78">
        <f t="shared" si="8"/>
        <v>0</v>
      </c>
      <c r="IN68" s="79">
        <f t="shared" si="24"/>
        <v>4</v>
      </c>
      <c r="IO68" s="79">
        <f t="shared" si="25"/>
        <v>4</v>
      </c>
      <c r="IP68" s="79">
        <f t="shared" si="26"/>
        <v>0</v>
      </c>
      <c r="IQ68" s="79">
        <f t="shared" si="27"/>
        <v>0</v>
      </c>
      <c r="IR68" s="79">
        <f t="shared" si="28"/>
        <v>0</v>
      </c>
      <c r="IS68" s="79">
        <f t="shared" si="29"/>
        <v>0</v>
      </c>
      <c r="IT68" s="79">
        <f t="shared" si="30"/>
        <v>0</v>
      </c>
      <c r="IU68" s="79">
        <f t="shared" si="16"/>
        <v>0</v>
      </c>
      <c r="IV68" s="72">
        <v>10</v>
      </c>
      <c r="IW68" s="80">
        <v>1</v>
      </c>
      <c r="IX68" s="72"/>
    </row>
    <row r="69" spans="1:258" s="5" customFormat="1" ht="15.95" customHeight="1">
      <c r="A69" s="6">
        <v>63</v>
      </c>
      <c r="B69" s="46" t="s">
        <v>136</v>
      </c>
      <c r="C69" s="46" t="s">
        <v>137</v>
      </c>
      <c r="D69" s="46" t="s">
        <v>138</v>
      </c>
      <c r="E69" s="36">
        <v>29.9</v>
      </c>
      <c r="F69" s="47"/>
      <c r="G69" s="47">
        <v>400</v>
      </c>
      <c r="H69" s="47"/>
      <c r="I69" s="47">
        <v>400</v>
      </c>
      <c r="J69" s="47">
        <v>0</v>
      </c>
      <c r="K69" s="47"/>
      <c r="L69" s="47"/>
      <c r="M69" s="47"/>
      <c r="N69" s="47"/>
      <c r="O69" s="36"/>
      <c r="P69" s="36">
        <v>400</v>
      </c>
      <c r="Q69" s="36">
        <v>0</v>
      </c>
      <c r="R69" s="50"/>
      <c r="S69" s="50"/>
      <c r="T69" s="50"/>
      <c r="U69" s="50"/>
      <c r="V69" s="34">
        <v>0</v>
      </c>
      <c r="W69" s="34">
        <v>0</v>
      </c>
      <c r="X69" s="34">
        <v>0</v>
      </c>
      <c r="Y69" s="34">
        <v>0</v>
      </c>
      <c r="Z69" s="34"/>
      <c r="AA69" s="34"/>
      <c r="AB69" s="34"/>
      <c r="AC69" s="34"/>
      <c r="AD69" s="34">
        <v>0</v>
      </c>
      <c r="AE69" s="34">
        <v>0</v>
      </c>
      <c r="AF69" s="34">
        <v>0</v>
      </c>
      <c r="AG69" s="34"/>
      <c r="AH69" s="34"/>
      <c r="AI69" s="47"/>
      <c r="AJ69" s="47"/>
      <c r="AK69" s="47">
        <v>150</v>
      </c>
      <c r="AL69" s="47">
        <v>0</v>
      </c>
      <c r="AM69" s="47">
        <v>50</v>
      </c>
      <c r="AN69" s="92">
        <v>10</v>
      </c>
      <c r="AO69" s="47">
        <v>35</v>
      </c>
      <c r="AP69" s="47">
        <v>55</v>
      </c>
      <c r="AQ69" s="96"/>
      <c r="AR69" s="96"/>
      <c r="AS69" s="36">
        <v>0</v>
      </c>
      <c r="AT69" s="36">
        <v>0</v>
      </c>
      <c r="AU69" s="93">
        <v>50</v>
      </c>
      <c r="AV69" s="50"/>
      <c r="AW69" s="50">
        <v>100</v>
      </c>
      <c r="AX69" s="92"/>
      <c r="AY69" s="92"/>
      <c r="AZ69" s="47">
        <v>20</v>
      </c>
      <c r="BA69" s="47">
        <v>0</v>
      </c>
      <c r="BB69" s="92">
        <v>20</v>
      </c>
      <c r="BC69" s="47">
        <v>0</v>
      </c>
      <c r="BD69" s="47">
        <v>0</v>
      </c>
      <c r="BE69" s="47">
        <v>0</v>
      </c>
      <c r="BF69" s="96"/>
      <c r="BG69" s="96"/>
      <c r="BH69" s="47"/>
      <c r="BI69" s="93">
        <v>20</v>
      </c>
      <c r="BJ69" s="93">
        <v>0</v>
      </c>
      <c r="BK69" s="36">
        <v>0</v>
      </c>
      <c r="BL69" s="36">
        <v>0</v>
      </c>
      <c r="BM69" s="93"/>
      <c r="BN69" s="93"/>
      <c r="BO69" s="36"/>
      <c r="BP69" s="36"/>
      <c r="BQ69" s="36"/>
      <c r="BR69" s="36">
        <v>0</v>
      </c>
      <c r="BS69" s="36"/>
      <c r="BT69" s="36"/>
      <c r="BU69" s="36"/>
      <c r="BV69" s="36"/>
      <c r="BW69" s="36"/>
      <c r="BX69" s="36"/>
      <c r="BY69" s="35"/>
      <c r="BZ69" s="35"/>
      <c r="CA69" s="35">
        <v>0</v>
      </c>
      <c r="CB69" s="35"/>
      <c r="CC69" s="35"/>
      <c r="CD69" s="35"/>
      <c r="CE69" s="35"/>
      <c r="CF69" s="35"/>
      <c r="CG69" s="36"/>
      <c r="CH69" s="35"/>
      <c r="CI69" s="35"/>
      <c r="CJ69" s="35"/>
      <c r="CK69" s="35"/>
      <c r="CL69" s="35"/>
      <c r="CM69" s="51"/>
      <c r="CN69" s="51"/>
      <c r="CO69" s="51"/>
      <c r="CP69" s="51"/>
      <c r="CQ69" s="35">
        <v>4.8</v>
      </c>
      <c r="CR69" s="35">
        <v>3</v>
      </c>
      <c r="CS69" s="35">
        <v>0</v>
      </c>
      <c r="CT69" s="35">
        <v>0.8</v>
      </c>
      <c r="CU69" s="35">
        <v>1</v>
      </c>
      <c r="CV69" s="35">
        <v>0</v>
      </c>
      <c r="CW69" s="35"/>
      <c r="CX69" s="35"/>
      <c r="CY69" s="35"/>
      <c r="CZ69" s="36"/>
      <c r="DA69" s="35"/>
      <c r="DB69" s="35"/>
      <c r="DC69" s="35">
        <v>0</v>
      </c>
      <c r="DD69" s="35"/>
      <c r="DE69" s="35">
        <v>0</v>
      </c>
      <c r="DF69" s="35"/>
      <c r="DG69" s="35"/>
      <c r="DH69" s="35"/>
      <c r="DI69" s="36">
        <v>1</v>
      </c>
      <c r="DJ69" s="36">
        <v>5</v>
      </c>
      <c r="DK69" s="35">
        <v>2</v>
      </c>
      <c r="DL69" s="35">
        <v>0</v>
      </c>
      <c r="DM69" s="35">
        <v>2</v>
      </c>
      <c r="DN69" s="35">
        <v>1</v>
      </c>
      <c r="DO69" s="35">
        <v>0</v>
      </c>
      <c r="DP69" s="35"/>
      <c r="DQ69" s="35"/>
      <c r="DR69" s="35"/>
      <c r="DS69" s="35"/>
      <c r="DT69" s="35"/>
      <c r="DU69" s="35">
        <v>0</v>
      </c>
      <c r="DV69" s="35"/>
      <c r="DW69" s="35"/>
      <c r="DX69" s="35"/>
      <c r="DY69" s="35"/>
      <c r="DZ69" s="48"/>
      <c r="EA69" s="35"/>
      <c r="EB69" s="35"/>
      <c r="EC69" s="35"/>
      <c r="ED69" s="35">
        <v>0</v>
      </c>
      <c r="EE69" s="35"/>
      <c r="EF69" s="35"/>
      <c r="EG69" s="35"/>
      <c r="EH69" s="35"/>
      <c r="EI69" s="35"/>
      <c r="EJ69" s="35">
        <v>1</v>
      </c>
      <c r="EK69" s="35">
        <v>0</v>
      </c>
      <c r="EL69" s="35">
        <v>0.5</v>
      </c>
      <c r="EM69" s="35">
        <v>0.5</v>
      </c>
      <c r="EN69" s="35">
        <v>0</v>
      </c>
      <c r="EO69" s="35">
        <v>0</v>
      </c>
      <c r="EP69" s="35"/>
      <c r="EQ69" s="35"/>
      <c r="ER69" s="35"/>
      <c r="ES69" s="35">
        <v>0</v>
      </c>
      <c r="ET69" s="35">
        <v>0</v>
      </c>
      <c r="EU69" s="35">
        <v>0</v>
      </c>
      <c r="EV69" s="35">
        <v>0</v>
      </c>
      <c r="EW69" s="35">
        <v>0</v>
      </c>
      <c r="EX69" s="35">
        <v>0</v>
      </c>
      <c r="EY69" s="35"/>
      <c r="EZ69" s="35"/>
      <c r="FA69" s="35"/>
      <c r="FB69" s="36"/>
      <c r="FC69" s="35"/>
      <c r="FD69" s="35"/>
      <c r="FE69" s="35">
        <v>0</v>
      </c>
      <c r="FF69" s="35"/>
      <c r="FG69" s="35">
        <v>0</v>
      </c>
      <c r="FH69" s="35"/>
      <c r="FI69" s="35"/>
      <c r="FJ69" s="48"/>
      <c r="FK69" s="35">
        <v>400</v>
      </c>
      <c r="FL69" s="35">
        <v>0</v>
      </c>
      <c r="FM69" s="35">
        <v>0</v>
      </c>
      <c r="FN69" s="35">
        <v>0</v>
      </c>
      <c r="FO69" s="35"/>
      <c r="FP69" s="35">
        <v>400</v>
      </c>
      <c r="FQ69" s="35"/>
      <c r="FR69" s="35"/>
      <c r="FS69" s="35">
        <f>SUM(FL69+FM69+FN69+FO69+FP69)-FK69</f>
        <v>0</v>
      </c>
      <c r="FT69" s="36"/>
      <c r="FU69" s="36"/>
      <c r="FV69" s="36">
        <v>0</v>
      </c>
      <c r="FW69" s="36"/>
      <c r="FX69" s="36"/>
      <c r="FY69" s="36"/>
      <c r="FZ69" s="36"/>
      <c r="GA69" s="48"/>
      <c r="GB69" s="36"/>
      <c r="GC69" s="35"/>
      <c r="GD69" s="35"/>
      <c r="GE69" s="35">
        <v>0</v>
      </c>
      <c r="GF69" s="35"/>
      <c r="GG69" s="35"/>
      <c r="GH69" s="35"/>
      <c r="GI69" s="35"/>
      <c r="GJ69" s="35"/>
      <c r="GK69" s="35"/>
      <c r="GL69" s="35"/>
      <c r="GM69" s="35"/>
      <c r="GN69" s="35">
        <v>0</v>
      </c>
      <c r="GO69" s="35"/>
      <c r="GP69" s="35"/>
      <c r="GQ69" s="35"/>
      <c r="GR69" s="35"/>
      <c r="GS69" s="35"/>
      <c r="GT69" s="35"/>
      <c r="GU69" s="35"/>
      <c r="GV69" s="35"/>
      <c r="GW69" s="35">
        <v>0</v>
      </c>
      <c r="GX69" s="35"/>
      <c r="GY69" s="35"/>
      <c r="GZ69" s="35"/>
      <c r="HA69" s="35"/>
      <c r="HB69" s="35"/>
      <c r="HC69" s="36"/>
      <c r="HD69" s="36"/>
      <c r="HE69" s="36"/>
      <c r="HF69" s="36"/>
      <c r="HG69" s="36"/>
      <c r="HH69" s="36"/>
      <c r="HI69" s="36"/>
      <c r="HJ69" s="36"/>
      <c r="HK69" s="36"/>
      <c r="HL69" s="36">
        <v>1</v>
      </c>
      <c r="HM69" s="36">
        <v>0</v>
      </c>
      <c r="HN69" s="36">
        <v>0</v>
      </c>
      <c r="HO69" s="36">
        <v>0</v>
      </c>
      <c r="HP69" s="36">
        <v>0</v>
      </c>
      <c r="HQ69" s="36">
        <v>1</v>
      </c>
      <c r="HR69" s="36">
        <v>0</v>
      </c>
      <c r="HS69" s="36">
        <v>0</v>
      </c>
      <c r="HT69" s="36"/>
      <c r="HU69" s="36"/>
      <c r="HV69" s="36"/>
      <c r="HW69" s="36"/>
      <c r="HX69" s="36">
        <v>0</v>
      </c>
      <c r="HY69" s="36"/>
      <c r="HZ69" s="36"/>
      <c r="IA69" s="36"/>
      <c r="IB69" s="36"/>
      <c r="IC69" s="36"/>
      <c r="ID69" s="36">
        <v>1</v>
      </c>
      <c r="IE69" s="49"/>
      <c r="IF69" s="50">
        <f t="shared" si="19"/>
        <v>0</v>
      </c>
      <c r="IG69" s="50">
        <f t="shared" si="20"/>
        <v>0</v>
      </c>
      <c r="IH69" s="50">
        <f t="shared" si="21"/>
        <v>0</v>
      </c>
      <c r="II69" s="50">
        <f t="shared" si="22"/>
        <v>0</v>
      </c>
      <c r="IJ69" s="50">
        <f t="shared" si="23"/>
        <v>0</v>
      </c>
      <c r="IK69" s="50">
        <f t="shared" si="18"/>
        <v>0</v>
      </c>
      <c r="IL69" s="50">
        <f t="shared" si="7"/>
        <v>0</v>
      </c>
      <c r="IM69" s="50">
        <f t="shared" si="8"/>
        <v>0</v>
      </c>
      <c r="IN69" s="47">
        <f t="shared" si="24"/>
        <v>5.8</v>
      </c>
      <c r="IO69" s="47">
        <f t="shared" si="25"/>
        <v>3</v>
      </c>
      <c r="IP69" s="47">
        <f t="shared" si="26"/>
        <v>0.5</v>
      </c>
      <c r="IQ69" s="47">
        <f t="shared" si="27"/>
        <v>1.3</v>
      </c>
      <c r="IR69" s="47">
        <f t="shared" si="28"/>
        <v>1</v>
      </c>
      <c r="IS69" s="47">
        <f t="shared" si="29"/>
        <v>0</v>
      </c>
      <c r="IT69" s="47">
        <f t="shared" si="30"/>
        <v>0</v>
      </c>
      <c r="IU69" s="95">
        <f t="shared" si="16"/>
        <v>0</v>
      </c>
      <c r="IV69" s="36">
        <v>8.1999999999999993</v>
      </c>
      <c r="IW69" s="52">
        <v>1</v>
      </c>
      <c r="IX69" s="48"/>
    </row>
    <row r="70" spans="1:258" s="5" customFormat="1" ht="15.95" customHeight="1">
      <c r="A70" s="6">
        <v>64</v>
      </c>
      <c r="B70" s="46" t="s">
        <v>139</v>
      </c>
      <c r="C70" s="46" t="s">
        <v>137</v>
      </c>
      <c r="D70" s="46" t="s">
        <v>138</v>
      </c>
      <c r="E70" s="36">
        <v>43.5</v>
      </c>
      <c r="F70" s="47"/>
      <c r="G70" s="47">
        <v>400</v>
      </c>
      <c r="H70" s="47">
        <v>0</v>
      </c>
      <c r="I70" s="47">
        <v>400</v>
      </c>
      <c r="J70" s="47">
        <v>0</v>
      </c>
      <c r="K70" s="47"/>
      <c r="L70" s="47"/>
      <c r="M70" s="47"/>
      <c r="N70" s="47"/>
      <c r="O70" s="36"/>
      <c r="P70" s="36">
        <v>400</v>
      </c>
      <c r="Q70" s="36">
        <v>0</v>
      </c>
      <c r="R70" s="50"/>
      <c r="S70" s="50"/>
      <c r="T70" s="50"/>
      <c r="U70" s="50"/>
      <c r="V70" s="34">
        <v>0</v>
      </c>
      <c r="W70" s="34">
        <v>0</v>
      </c>
      <c r="X70" s="34">
        <v>0</v>
      </c>
      <c r="Y70" s="34">
        <v>0</v>
      </c>
      <c r="Z70" s="34"/>
      <c r="AA70" s="34"/>
      <c r="AB70" s="34"/>
      <c r="AC70" s="34"/>
      <c r="AD70" s="34">
        <v>0</v>
      </c>
      <c r="AE70" s="34">
        <v>0</v>
      </c>
      <c r="AF70" s="34">
        <v>0</v>
      </c>
      <c r="AG70" s="34"/>
      <c r="AH70" s="34"/>
      <c r="AI70" s="47"/>
      <c r="AJ70" s="47"/>
      <c r="AK70" s="47">
        <v>310</v>
      </c>
      <c r="AL70" s="47">
        <v>0</v>
      </c>
      <c r="AM70" s="47">
        <v>40</v>
      </c>
      <c r="AN70" s="92">
        <v>0</v>
      </c>
      <c r="AO70" s="47">
        <v>180</v>
      </c>
      <c r="AP70" s="47">
        <v>90</v>
      </c>
      <c r="AQ70" s="96"/>
      <c r="AR70" s="96"/>
      <c r="AS70" s="36">
        <v>0</v>
      </c>
      <c r="AT70" s="36">
        <v>0</v>
      </c>
      <c r="AU70" s="93">
        <v>40</v>
      </c>
      <c r="AV70" s="50"/>
      <c r="AW70" s="50">
        <v>270</v>
      </c>
      <c r="AX70" s="92"/>
      <c r="AY70" s="92"/>
      <c r="AZ70" s="47">
        <v>10</v>
      </c>
      <c r="BA70" s="47"/>
      <c r="BB70" s="92">
        <v>10</v>
      </c>
      <c r="BC70" s="47">
        <v>0</v>
      </c>
      <c r="BD70" s="47">
        <v>0</v>
      </c>
      <c r="BE70" s="47">
        <v>0</v>
      </c>
      <c r="BF70" s="96"/>
      <c r="BG70" s="96"/>
      <c r="BH70" s="47"/>
      <c r="BI70" s="93">
        <v>10</v>
      </c>
      <c r="BJ70" s="93">
        <v>0</v>
      </c>
      <c r="BK70" s="36">
        <v>0</v>
      </c>
      <c r="BL70" s="36">
        <v>0</v>
      </c>
      <c r="BM70" s="93"/>
      <c r="BN70" s="93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5"/>
      <c r="BZ70" s="35"/>
      <c r="CA70" s="35"/>
      <c r="CB70" s="35"/>
      <c r="CC70" s="35"/>
      <c r="CD70" s="35"/>
      <c r="CE70" s="35"/>
      <c r="CF70" s="35"/>
      <c r="CG70" s="36">
        <v>0.06</v>
      </c>
      <c r="CH70" s="35">
        <v>0</v>
      </c>
      <c r="CI70" s="35">
        <v>0</v>
      </c>
      <c r="CJ70" s="35">
        <v>2.1600000000000001E-2</v>
      </c>
      <c r="CK70" s="35"/>
      <c r="CL70" s="35">
        <f>CG70-CJ70</f>
        <v>3.8399999999999997E-2</v>
      </c>
      <c r="CM70" s="51"/>
      <c r="CN70" s="51"/>
      <c r="CO70" s="51"/>
      <c r="CP70" s="51"/>
      <c r="CQ70" s="35">
        <v>11</v>
      </c>
      <c r="CR70" s="35">
        <v>0</v>
      </c>
      <c r="CS70" s="35">
        <v>0</v>
      </c>
      <c r="CT70" s="35">
        <v>0</v>
      </c>
      <c r="CU70" s="35">
        <v>11</v>
      </c>
      <c r="CV70" s="35">
        <v>0</v>
      </c>
      <c r="CW70" s="35"/>
      <c r="CX70" s="35"/>
      <c r="CY70" s="35"/>
      <c r="CZ70" s="36"/>
      <c r="DA70" s="35"/>
      <c r="DB70" s="35"/>
      <c r="DC70" s="35">
        <v>0</v>
      </c>
      <c r="DD70" s="35"/>
      <c r="DE70" s="35"/>
      <c r="DF70" s="35"/>
      <c r="DG70" s="35"/>
      <c r="DH70" s="35"/>
      <c r="DI70" s="36">
        <v>1</v>
      </c>
      <c r="DJ70" s="36">
        <v>2</v>
      </c>
      <c r="DK70" s="35">
        <v>1</v>
      </c>
      <c r="DL70" s="35">
        <v>0</v>
      </c>
      <c r="DM70" s="35">
        <v>0</v>
      </c>
      <c r="DN70" s="35">
        <v>1</v>
      </c>
      <c r="DO70" s="35">
        <v>0</v>
      </c>
      <c r="DP70" s="35"/>
      <c r="DQ70" s="35"/>
      <c r="DR70" s="35"/>
      <c r="DS70" s="36"/>
      <c r="DT70" s="36"/>
      <c r="DU70" s="36">
        <v>0</v>
      </c>
      <c r="DV70" s="36"/>
      <c r="DW70" s="36"/>
      <c r="DX70" s="36"/>
      <c r="DY70" s="36"/>
      <c r="DZ70" s="48"/>
      <c r="EA70" s="35"/>
      <c r="EB70" s="35"/>
      <c r="EC70" s="35"/>
      <c r="ED70" s="35"/>
      <c r="EE70" s="35"/>
      <c r="EF70" s="35"/>
      <c r="EG70" s="35"/>
      <c r="EH70" s="35"/>
      <c r="EI70" s="35"/>
      <c r="EJ70" s="35">
        <v>1</v>
      </c>
      <c r="EK70" s="35">
        <v>0</v>
      </c>
      <c r="EL70" s="35">
        <v>0.67</v>
      </c>
      <c r="EM70" s="35">
        <v>0</v>
      </c>
      <c r="EN70" s="35">
        <v>0</v>
      </c>
      <c r="EO70" s="35">
        <v>0.33</v>
      </c>
      <c r="EP70" s="35"/>
      <c r="EQ70" s="35"/>
      <c r="ER70" s="35"/>
      <c r="ES70" s="35"/>
      <c r="ET70" s="35"/>
      <c r="EU70" s="35"/>
      <c r="EV70" s="35"/>
      <c r="EW70" s="35">
        <v>0</v>
      </c>
      <c r="EX70" s="35">
        <v>0</v>
      </c>
      <c r="EY70" s="35"/>
      <c r="EZ70" s="35"/>
      <c r="FA70" s="35"/>
      <c r="FB70" s="36"/>
      <c r="FC70" s="35"/>
      <c r="FD70" s="35"/>
      <c r="FE70" s="35"/>
      <c r="FF70" s="35"/>
      <c r="FG70" s="35"/>
      <c r="FH70" s="35"/>
      <c r="FI70" s="35"/>
      <c r="FJ70" s="48"/>
      <c r="FK70" s="35"/>
      <c r="FL70" s="35"/>
      <c r="FM70" s="35"/>
      <c r="FN70" s="35"/>
      <c r="FO70" s="35"/>
      <c r="FP70" s="35"/>
      <c r="FQ70" s="35"/>
      <c r="FR70" s="35"/>
      <c r="FS70" s="35">
        <f t="shared" ref="FS70:FS127" si="31">SUM(FL70+FM70+FN70+FO70+FP70)-FK70</f>
        <v>0</v>
      </c>
      <c r="FT70" s="36"/>
      <c r="FU70" s="36"/>
      <c r="FV70" s="36">
        <v>1</v>
      </c>
      <c r="FW70" s="36"/>
      <c r="FX70" s="36">
        <v>0</v>
      </c>
      <c r="FY70" s="36"/>
      <c r="FZ70" s="36"/>
      <c r="GA70" s="48"/>
      <c r="GB70" s="36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6"/>
      <c r="HD70" s="36"/>
      <c r="HE70" s="36"/>
      <c r="HF70" s="36"/>
      <c r="HG70" s="36"/>
      <c r="HH70" s="36"/>
      <c r="HI70" s="36"/>
      <c r="HJ70" s="36"/>
      <c r="HK70" s="36"/>
      <c r="HL70" s="35">
        <v>1</v>
      </c>
      <c r="HM70" s="35">
        <v>0</v>
      </c>
      <c r="HN70" s="35">
        <v>0.5</v>
      </c>
      <c r="HO70" s="35">
        <v>0.5</v>
      </c>
      <c r="HP70" s="35">
        <v>0</v>
      </c>
      <c r="HQ70" s="35">
        <v>0</v>
      </c>
      <c r="HR70" s="35">
        <v>0</v>
      </c>
      <c r="HS70" s="35">
        <v>0</v>
      </c>
      <c r="HT70" s="36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49"/>
      <c r="IF70" s="50">
        <f t="shared" si="19"/>
        <v>0.06</v>
      </c>
      <c r="IG70" s="50">
        <f t="shared" si="20"/>
        <v>0</v>
      </c>
      <c r="IH70" s="50">
        <f t="shared" si="21"/>
        <v>0</v>
      </c>
      <c r="II70" s="50">
        <f t="shared" si="22"/>
        <v>2.1600000000000001E-2</v>
      </c>
      <c r="IJ70" s="50">
        <f t="shared" si="23"/>
        <v>0</v>
      </c>
      <c r="IK70" s="50">
        <f t="shared" si="18"/>
        <v>3.8399999999999997E-2</v>
      </c>
      <c r="IL70" s="50">
        <f t="shared" si="7"/>
        <v>0</v>
      </c>
      <c r="IM70" s="50">
        <f t="shared" si="8"/>
        <v>0</v>
      </c>
      <c r="IN70" s="47">
        <f t="shared" si="24"/>
        <v>12</v>
      </c>
      <c r="IO70" s="47">
        <f t="shared" si="25"/>
        <v>0</v>
      </c>
      <c r="IP70" s="47">
        <f t="shared" si="26"/>
        <v>0.67</v>
      </c>
      <c r="IQ70" s="47">
        <f t="shared" si="27"/>
        <v>0</v>
      </c>
      <c r="IR70" s="47">
        <f t="shared" si="28"/>
        <v>11</v>
      </c>
      <c r="IS70" s="47">
        <f t="shared" si="29"/>
        <v>0.33</v>
      </c>
      <c r="IT70" s="47">
        <f t="shared" si="30"/>
        <v>0</v>
      </c>
      <c r="IU70" s="95">
        <f t="shared" si="16"/>
        <v>0</v>
      </c>
      <c r="IV70" s="36">
        <v>2</v>
      </c>
      <c r="IW70" s="52">
        <v>1</v>
      </c>
      <c r="IX70" s="48"/>
    </row>
    <row r="71" spans="1:258" s="5" customFormat="1" ht="15.95" customHeight="1">
      <c r="A71" s="12">
        <v>65</v>
      </c>
      <c r="B71" s="46" t="s">
        <v>140</v>
      </c>
      <c r="C71" s="48" t="s">
        <v>137</v>
      </c>
      <c r="D71" s="48" t="s">
        <v>141</v>
      </c>
      <c r="E71" s="36">
        <v>54.3</v>
      </c>
      <c r="F71" s="47"/>
      <c r="G71" s="47">
        <v>400</v>
      </c>
      <c r="H71" s="47"/>
      <c r="I71" s="47">
        <v>400</v>
      </c>
      <c r="J71" s="47">
        <v>0</v>
      </c>
      <c r="K71" s="47"/>
      <c r="L71" s="47"/>
      <c r="M71" s="47"/>
      <c r="N71" s="47"/>
      <c r="O71" s="36"/>
      <c r="P71" s="36">
        <v>400</v>
      </c>
      <c r="Q71" s="36">
        <v>0</v>
      </c>
      <c r="R71" s="50"/>
      <c r="S71" s="50"/>
      <c r="T71" s="50"/>
      <c r="U71" s="50"/>
      <c r="V71" s="34">
        <v>0</v>
      </c>
      <c r="W71" s="34">
        <v>0</v>
      </c>
      <c r="X71" s="34">
        <v>0</v>
      </c>
      <c r="Y71" s="34">
        <v>0</v>
      </c>
      <c r="Z71" s="34"/>
      <c r="AA71" s="34"/>
      <c r="AB71" s="34"/>
      <c r="AC71" s="34"/>
      <c r="AD71" s="34">
        <v>0</v>
      </c>
      <c r="AE71" s="34">
        <v>0</v>
      </c>
      <c r="AF71" s="34">
        <v>0</v>
      </c>
      <c r="AG71" s="34"/>
      <c r="AH71" s="34"/>
      <c r="AI71" s="47"/>
      <c r="AJ71" s="47"/>
      <c r="AK71" s="47">
        <v>73</v>
      </c>
      <c r="AL71" s="47">
        <v>0</v>
      </c>
      <c r="AM71" s="47">
        <v>18</v>
      </c>
      <c r="AN71" s="92">
        <v>0</v>
      </c>
      <c r="AO71" s="47">
        <v>35</v>
      </c>
      <c r="AP71" s="47">
        <v>20</v>
      </c>
      <c r="AQ71" s="96"/>
      <c r="AR71" s="96"/>
      <c r="AS71" s="36">
        <v>0</v>
      </c>
      <c r="AT71" s="36">
        <v>0</v>
      </c>
      <c r="AU71" s="93">
        <v>18</v>
      </c>
      <c r="AV71" s="50"/>
      <c r="AW71" s="50">
        <v>55</v>
      </c>
      <c r="AX71" s="92"/>
      <c r="AY71" s="92"/>
      <c r="AZ71" s="47">
        <v>80</v>
      </c>
      <c r="BA71" s="47"/>
      <c r="BB71" s="92">
        <v>80</v>
      </c>
      <c r="BC71" s="47">
        <v>0</v>
      </c>
      <c r="BD71" s="47">
        <v>0</v>
      </c>
      <c r="BE71" s="47">
        <v>0</v>
      </c>
      <c r="BF71" s="96"/>
      <c r="BG71" s="96"/>
      <c r="BH71" s="47"/>
      <c r="BI71" s="93">
        <v>80</v>
      </c>
      <c r="BJ71" s="93">
        <v>0</v>
      </c>
      <c r="BK71" s="36">
        <v>0</v>
      </c>
      <c r="BL71" s="36">
        <v>0</v>
      </c>
      <c r="BM71" s="93"/>
      <c r="BN71" s="93"/>
      <c r="BO71" s="36"/>
      <c r="BP71" s="36"/>
      <c r="BQ71" s="36"/>
      <c r="BR71" s="36"/>
      <c r="BS71" s="36"/>
      <c r="BT71" s="36"/>
      <c r="BU71" s="36"/>
      <c r="BV71" s="36"/>
      <c r="BW71" s="36"/>
      <c r="BX71" s="48"/>
      <c r="BY71" s="35"/>
      <c r="BZ71" s="35"/>
      <c r="CA71" s="35"/>
      <c r="CB71" s="35"/>
      <c r="CC71" s="35"/>
      <c r="CD71" s="35"/>
      <c r="CE71" s="35"/>
      <c r="CF71" s="35"/>
      <c r="CG71" s="36">
        <v>0.4</v>
      </c>
      <c r="CH71" s="35"/>
      <c r="CI71" s="35">
        <v>0</v>
      </c>
      <c r="CJ71" s="35">
        <v>0</v>
      </c>
      <c r="CK71" s="35"/>
      <c r="CL71" s="35">
        <v>0.4</v>
      </c>
      <c r="CM71" s="51"/>
      <c r="CN71" s="51"/>
      <c r="CO71" s="51"/>
      <c r="CP71" s="51"/>
      <c r="CQ71" s="35">
        <v>11</v>
      </c>
      <c r="CR71" s="35"/>
      <c r="CS71" s="35">
        <v>0</v>
      </c>
      <c r="CT71" s="35">
        <v>0</v>
      </c>
      <c r="CU71" s="35">
        <v>0</v>
      </c>
      <c r="CV71" s="35">
        <v>11</v>
      </c>
      <c r="CW71" s="35"/>
      <c r="CX71" s="35"/>
      <c r="CY71" s="35"/>
      <c r="CZ71" s="48"/>
      <c r="DA71" s="35"/>
      <c r="DB71" s="35"/>
      <c r="DC71" s="35"/>
      <c r="DD71" s="35"/>
      <c r="DE71" s="35"/>
      <c r="DF71" s="35"/>
      <c r="DG71" s="35"/>
      <c r="DH71" s="35"/>
      <c r="DI71" s="35">
        <v>11</v>
      </c>
      <c r="DJ71" s="35">
        <v>19</v>
      </c>
      <c r="DK71" s="35"/>
      <c r="DL71" s="35">
        <v>0</v>
      </c>
      <c r="DM71" s="35">
        <v>0</v>
      </c>
      <c r="DN71" s="35">
        <v>0</v>
      </c>
      <c r="DO71" s="35">
        <v>19</v>
      </c>
      <c r="DP71" s="35"/>
      <c r="DQ71" s="35"/>
      <c r="DR71" s="35"/>
      <c r="DS71" s="48"/>
      <c r="DT71" s="48"/>
      <c r="DU71" s="48"/>
      <c r="DV71" s="48"/>
      <c r="DW71" s="48"/>
      <c r="DX71" s="48"/>
      <c r="DY71" s="48"/>
      <c r="DZ71" s="48"/>
      <c r="EA71" s="35"/>
      <c r="EB71" s="35"/>
      <c r="EC71" s="35"/>
      <c r="ED71" s="35"/>
      <c r="EE71" s="35"/>
      <c r="EF71" s="35"/>
      <c r="EG71" s="35"/>
      <c r="EH71" s="35"/>
      <c r="EI71" s="35"/>
      <c r="EJ71" s="35">
        <v>1</v>
      </c>
      <c r="EK71" s="35">
        <v>0</v>
      </c>
      <c r="EL71" s="35">
        <v>0.8</v>
      </c>
      <c r="EM71" s="35">
        <v>1.67E-2</v>
      </c>
      <c r="EN71" s="35">
        <v>0</v>
      </c>
      <c r="EO71" s="35">
        <v>0.18329999999999991</v>
      </c>
      <c r="EP71" s="35"/>
      <c r="EQ71" s="35"/>
      <c r="ER71" s="35"/>
      <c r="ES71" s="35"/>
      <c r="ET71" s="35"/>
      <c r="EU71" s="35"/>
      <c r="EV71" s="35"/>
      <c r="EW71" s="35">
        <v>0</v>
      </c>
      <c r="EX71" s="35"/>
      <c r="EY71" s="35"/>
      <c r="EZ71" s="35"/>
      <c r="FA71" s="35"/>
      <c r="FB71" s="48"/>
      <c r="FC71" s="35"/>
      <c r="FD71" s="35"/>
      <c r="FE71" s="35"/>
      <c r="FF71" s="35">
        <v>1</v>
      </c>
      <c r="FG71" s="35">
        <v>0</v>
      </c>
      <c r="FH71" s="35"/>
      <c r="FI71" s="35"/>
      <c r="FJ71" s="48"/>
      <c r="FK71" s="35"/>
      <c r="FL71" s="35"/>
      <c r="FM71" s="35"/>
      <c r="FN71" s="35"/>
      <c r="FO71" s="35"/>
      <c r="FP71" s="35">
        <v>0</v>
      </c>
      <c r="FQ71" s="35"/>
      <c r="FR71" s="35"/>
      <c r="FS71" s="35">
        <f t="shared" si="31"/>
        <v>0</v>
      </c>
      <c r="FT71" s="36"/>
      <c r="FU71" s="36"/>
      <c r="FV71" s="36"/>
      <c r="FW71" s="36"/>
      <c r="FX71" s="36">
        <v>0</v>
      </c>
      <c r="FY71" s="36"/>
      <c r="FZ71" s="36"/>
      <c r="GA71" s="48"/>
      <c r="GB71" s="48"/>
      <c r="GC71" s="35"/>
      <c r="GD71" s="35"/>
      <c r="GE71" s="35"/>
      <c r="GF71" s="35"/>
      <c r="GG71" s="35">
        <v>0</v>
      </c>
      <c r="GH71" s="35"/>
      <c r="GI71" s="35"/>
      <c r="GJ71" s="35"/>
      <c r="GK71" s="35"/>
      <c r="GL71" s="35"/>
      <c r="GM71" s="35"/>
      <c r="GN71" s="35"/>
      <c r="GO71" s="35"/>
      <c r="GP71" s="35">
        <v>0</v>
      </c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6"/>
      <c r="HD71" s="36"/>
      <c r="HE71" s="36"/>
      <c r="HF71" s="36"/>
      <c r="HG71" s="36"/>
      <c r="HH71" s="36"/>
      <c r="HI71" s="36"/>
      <c r="HJ71" s="36"/>
      <c r="HK71" s="36"/>
      <c r="HL71" s="35">
        <v>1</v>
      </c>
      <c r="HM71" s="35">
        <v>0</v>
      </c>
      <c r="HN71" s="35">
        <v>0</v>
      </c>
      <c r="HO71" s="35">
        <v>1</v>
      </c>
      <c r="HP71" s="35">
        <v>0</v>
      </c>
      <c r="HQ71" s="35">
        <v>0</v>
      </c>
      <c r="HR71" s="35">
        <v>0</v>
      </c>
      <c r="HS71" s="35">
        <v>0</v>
      </c>
      <c r="HT71" s="36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49"/>
      <c r="IF71" s="50">
        <f t="shared" ref="IF71:IF102" si="32">BX71+CG71+GB71+GK71+GT71</f>
        <v>0.4</v>
      </c>
      <c r="IG71" s="50">
        <f t="shared" ref="IG71:IG102" si="33">BY71+CH71+GC71+GL71+GU71</f>
        <v>0</v>
      </c>
      <c r="IH71" s="50">
        <f t="shared" ref="IH71:IH102" si="34">BZ71+CI71+GD71+GM71+GV71</f>
        <v>0</v>
      </c>
      <c r="II71" s="50">
        <f t="shared" ref="II71:II102" si="35">CA71+CJ71+GE71+GN71+GW71</f>
        <v>0</v>
      </c>
      <c r="IJ71" s="50">
        <f t="shared" ref="IJ71:IJ102" si="36">CB71+CK71+GF71+GO71+GX71</f>
        <v>0</v>
      </c>
      <c r="IK71" s="50">
        <f t="shared" si="18"/>
        <v>0.4</v>
      </c>
      <c r="IL71" s="50">
        <f t="shared" si="7"/>
        <v>0</v>
      </c>
      <c r="IM71" s="50">
        <f t="shared" si="8"/>
        <v>0</v>
      </c>
      <c r="IN71" s="47">
        <f t="shared" si="24"/>
        <v>12</v>
      </c>
      <c r="IO71" s="47">
        <f t="shared" si="25"/>
        <v>0</v>
      </c>
      <c r="IP71" s="47">
        <f t="shared" si="26"/>
        <v>0.8</v>
      </c>
      <c r="IQ71" s="47">
        <f t="shared" si="27"/>
        <v>1.67E-2</v>
      </c>
      <c r="IR71" s="47">
        <f t="shared" si="28"/>
        <v>0</v>
      </c>
      <c r="IS71" s="47">
        <f t="shared" si="29"/>
        <v>11.183299999999999</v>
      </c>
      <c r="IT71" s="47">
        <f t="shared" si="30"/>
        <v>0</v>
      </c>
      <c r="IU71" s="95">
        <f t="shared" si="16"/>
        <v>0</v>
      </c>
      <c r="IV71" s="36">
        <v>14.7</v>
      </c>
      <c r="IW71" s="52">
        <v>1</v>
      </c>
      <c r="IX71" s="48"/>
    </row>
    <row r="72" spans="1:258" s="5" customFormat="1" ht="15.95" customHeight="1">
      <c r="A72" s="12">
        <v>66</v>
      </c>
      <c r="B72" s="46" t="s">
        <v>142</v>
      </c>
      <c r="C72" s="46" t="s">
        <v>137</v>
      </c>
      <c r="D72" s="46" t="s">
        <v>138</v>
      </c>
      <c r="E72" s="36">
        <v>29.9</v>
      </c>
      <c r="F72" s="47"/>
      <c r="G72" s="47">
        <v>200</v>
      </c>
      <c r="H72" s="47"/>
      <c r="I72" s="47">
        <v>200</v>
      </c>
      <c r="J72" s="47">
        <v>0</v>
      </c>
      <c r="K72" s="47"/>
      <c r="L72" s="47"/>
      <c r="M72" s="47"/>
      <c r="N72" s="47"/>
      <c r="O72" s="36"/>
      <c r="P72" s="36">
        <v>200</v>
      </c>
      <c r="Q72" s="36"/>
      <c r="R72" s="50"/>
      <c r="S72" s="50"/>
      <c r="T72" s="50"/>
      <c r="U72" s="50"/>
      <c r="V72" s="34">
        <v>0</v>
      </c>
      <c r="W72" s="34">
        <v>0</v>
      </c>
      <c r="X72" s="34">
        <v>0</v>
      </c>
      <c r="Y72" s="34">
        <v>0</v>
      </c>
      <c r="Z72" s="34"/>
      <c r="AA72" s="34"/>
      <c r="AB72" s="34"/>
      <c r="AC72" s="34"/>
      <c r="AD72" s="34">
        <v>0</v>
      </c>
      <c r="AE72" s="34">
        <v>0</v>
      </c>
      <c r="AF72" s="34">
        <v>0</v>
      </c>
      <c r="AG72" s="34"/>
      <c r="AH72" s="34"/>
      <c r="AI72" s="47"/>
      <c r="AJ72" s="47"/>
      <c r="AK72" s="47">
        <v>396</v>
      </c>
      <c r="AL72" s="47">
        <v>0</v>
      </c>
      <c r="AM72" s="47">
        <v>42</v>
      </c>
      <c r="AN72" s="92">
        <v>90</v>
      </c>
      <c r="AO72" s="47">
        <v>139</v>
      </c>
      <c r="AP72" s="47">
        <v>125</v>
      </c>
      <c r="AQ72" s="96"/>
      <c r="AR72" s="96"/>
      <c r="AS72" s="36">
        <v>0</v>
      </c>
      <c r="AT72" s="36">
        <v>0</v>
      </c>
      <c r="AU72" s="93">
        <v>20</v>
      </c>
      <c r="AV72" s="50"/>
      <c r="AW72" s="50">
        <v>376</v>
      </c>
      <c r="AX72" s="92"/>
      <c r="AY72" s="92"/>
      <c r="AZ72" s="47">
        <v>50</v>
      </c>
      <c r="BA72" s="47"/>
      <c r="BB72" s="92">
        <v>50</v>
      </c>
      <c r="BC72" s="47">
        <v>0</v>
      </c>
      <c r="BD72" s="47">
        <v>0</v>
      </c>
      <c r="BE72" s="47">
        <v>0</v>
      </c>
      <c r="BF72" s="96"/>
      <c r="BG72" s="96"/>
      <c r="BH72" s="47"/>
      <c r="BI72" s="93">
        <v>50</v>
      </c>
      <c r="BJ72" s="93">
        <v>0</v>
      </c>
      <c r="BK72" s="36">
        <v>0</v>
      </c>
      <c r="BL72" s="36">
        <v>0</v>
      </c>
      <c r="BM72" s="93"/>
      <c r="BN72" s="93"/>
      <c r="BO72" s="36">
        <v>1</v>
      </c>
      <c r="BP72" s="36">
        <v>0</v>
      </c>
      <c r="BQ72" s="36">
        <v>0</v>
      </c>
      <c r="BR72" s="36">
        <v>0</v>
      </c>
      <c r="BS72" s="36"/>
      <c r="BT72" s="36">
        <v>1</v>
      </c>
      <c r="BU72" s="36"/>
      <c r="BV72" s="36"/>
      <c r="BW72" s="36"/>
      <c r="BX72" s="36">
        <v>0.1</v>
      </c>
      <c r="BY72" s="35">
        <v>0</v>
      </c>
      <c r="BZ72" s="35">
        <v>0</v>
      </c>
      <c r="CA72" s="35">
        <v>0</v>
      </c>
      <c r="CB72" s="35"/>
      <c r="CC72" s="89">
        <v>0.1</v>
      </c>
      <c r="CD72" s="89"/>
      <c r="CE72" s="89"/>
      <c r="CF72" s="35"/>
      <c r="CG72" s="36"/>
      <c r="CH72" s="35"/>
      <c r="CI72" s="35"/>
      <c r="CJ72" s="35">
        <v>0</v>
      </c>
      <c r="CK72" s="35"/>
      <c r="CL72" s="35">
        <v>0</v>
      </c>
      <c r="CM72" s="51"/>
      <c r="CN72" s="51"/>
      <c r="CO72" s="51"/>
      <c r="CP72" s="51"/>
      <c r="CQ72" s="35">
        <v>8</v>
      </c>
      <c r="CR72" s="35">
        <v>0</v>
      </c>
      <c r="CS72" s="35">
        <v>0</v>
      </c>
      <c r="CT72" s="35">
        <v>3.97</v>
      </c>
      <c r="CU72" s="35">
        <v>0</v>
      </c>
      <c r="CV72" s="35">
        <v>4.03</v>
      </c>
      <c r="CW72" s="35"/>
      <c r="CX72" s="35"/>
      <c r="CY72" s="35"/>
      <c r="CZ72" s="36"/>
      <c r="DA72" s="35"/>
      <c r="DB72" s="35"/>
      <c r="DC72" s="35"/>
      <c r="DD72" s="35"/>
      <c r="DE72" s="35">
        <v>0</v>
      </c>
      <c r="DF72" s="35"/>
      <c r="DG72" s="35"/>
      <c r="DH72" s="35"/>
      <c r="DI72" s="36">
        <v>2</v>
      </c>
      <c r="DJ72" s="36">
        <v>12</v>
      </c>
      <c r="DK72" s="35">
        <v>2</v>
      </c>
      <c r="DL72" s="35">
        <v>0</v>
      </c>
      <c r="DM72" s="35">
        <v>2</v>
      </c>
      <c r="DN72" s="35">
        <v>0</v>
      </c>
      <c r="DO72" s="35">
        <v>8</v>
      </c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48"/>
      <c r="EA72" s="35"/>
      <c r="EB72" s="35"/>
      <c r="EC72" s="35"/>
      <c r="ED72" s="35"/>
      <c r="EE72" s="35"/>
      <c r="EF72" s="35"/>
      <c r="EG72" s="35"/>
      <c r="EH72" s="35"/>
      <c r="EI72" s="35"/>
      <c r="EJ72" s="35">
        <v>0.5</v>
      </c>
      <c r="EK72" s="35"/>
      <c r="EL72" s="35">
        <v>0.5</v>
      </c>
      <c r="EM72" s="35"/>
      <c r="EN72" s="35">
        <v>0</v>
      </c>
      <c r="EO72" s="35">
        <v>0</v>
      </c>
      <c r="EP72" s="35"/>
      <c r="EQ72" s="35"/>
      <c r="ER72" s="35"/>
      <c r="ES72" s="35">
        <v>0.7</v>
      </c>
      <c r="ET72" s="35">
        <v>0</v>
      </c>
      <c r="EU72" s="35">
        <v>0</v>
      </c>
      <c r="EV72" s="35">
        <v>4.5999999999999999E-2</v>
      </c>
      <c r="EW72" s="35"/>
      <c r="EX72" s="35">
        <v>0.65400000000000003</v>
      </c>
      <c r="EY72" s="35"/>
      <c r="EZ72" s="35"/>
      <c r="FA72" s="35"/>
      <c r="FB72" s="36"/>
      <c r="FC72" s="35"/>
      <c r="FD72" s="35"/>
      <c r="FE72" s="35"/>
      <c r="FF72" s="35"/>
      <c r="FG72" s="35"/>
      <c r="FH72" s="35"/>
      <c r="FI72" s="35"/>
      <c r="FJ72" s="48"/>
      <c r="FK72" s="35">
        <v>600</v>
      </c>
      <c r="FL72" s="35">
        <v>0</v>
      </c>
      <c r="FM72" s="35">
        <v>0</v>
      </c>
      <c r="FN72" s="35">
        <v>0</v>
      </c>
      <c r="FO72" s="35"/>
      <c r="FP72" s="35">
        <v>600</v>
      </c>
      <c r="FQ72" s="35"/>
      <c r="FR72" s="35"/>
      <c r="FS72" s="35">
        <f t="shared" si="31"/>
        <v>0</v>
      </c>
      <c r="FT72" s="36"/>
      <c r="FU72" s="36"/>
      <c r="FV72" s="36"/>
      <c r="FW72" s="36"/>
      <c r="FX72" s="36"/>
      <c r="FY72" s="36"/>
      <c r="FZ72" s="36"/>
      <c r="GA72" s="48"/>
      <c r="GB72" s="36">
        <v>0.5</v>
      </c>
      <c r="GC72" s="35">
        <v>0</v>
      </c>
      <c r="GD72" s="35">
        <v>0</v>
      </c>
      <c r="GE72" s="35">
        <v>0</v>
      </c>
      <c r="GF72" s="35"/>
      <c r="GG72" s="35">
        <v>0.5</v>
      </c>
      <c r="GH72" s="35"/>
      <c r="GI72" s="35"/>
      <c r="GJ72" s="35"/>
      <c r="GK72" s="35"/>
      <c r="GL72" s="35"/>
      <c r="GM72" s="35"/>
      <c r="GN72" s="35"/>
      <c r="GO72" s="35"/>
      <c r="GP72" s="35">
        <v>0</v>
      </c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6"/>
      <c r="HD72" s="36"/>
      <c r="HE72" s="36"/>
      <c r="HF72" s="36"/>
      <c r="HG72" s="36"/>
      <c r="HH72" s="36"/>
      <c r="HI72" s="36"/>
      <c r="HJ72" s="36"/>
      <c r="HK72" s="36"/>
      <c r="HL72" s="36">
        <v>0</v>
      </c>
      <c r="HM72" s="36">
        <v>0</v>
      </c>
      <c r="HN72" s="36">
        <v>0</v>
      </c>
      <c r="HO72" s="36">
        <v>0</v>
      </c>
      <c r="HP72" s="36">
        <v>0</v>
      </c>
      <c r="HQ72" s="36">
        <v>0</v>
      </c>
      <c r="HR72" s="36">
        <v>0</v>
      </c>
      <c r="HS72" s="36">
        <v>0</v>
      </c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49"/>
      <c r="IF72" s="50">
        <f t="shared" si="32"/>
        <v>0.6</v>
      </c>
      <c r="IG72" s="50">
        <f t="shared" si="33"/>
        <v>0</v>
      </c>
      <c r="IH72" s="50">
        <f t="shared" si="34"/>
        <v>0</v>
      </c>
      <c r="II72" s="50">
        <f t="shared" si="35"/>
        <v>0</v>
      </c>
      <c r="IJ72" s="50">
        <f t="shared" si="36"/>
        <v>0</v>
      </c>
      <c r="IK72" s="50">
        <f t="shared" si="18"/>
        <v>0.6</v>
      </c>
      <c r="IL72" s="50">
        <f t="shared" ref="IL72:IM128" si="37">CD72+CM72+GH72+GQ72+GZ72</f>
        <v>0</v>
      </c>
      <c r="IM72" s="50">
        <f t="shared" si="37"/>
        <v>0</v>
      </c>
      <c r="IN72" s="47">
        <f t="shared" ref="IN72:IN103" si="38">CQ72+EA72+EJ72+ES72</f>
        <v>9.1999999999999993</v>
      </c>
      <c r="IO72" s="47">
        <f t="shared" ref="IO72:IO103" si="39">CR72+EB72+EK72+ET72</f>
        <v>0</v>
      </c>
      <c r="IP72" s="47">
        <f t="shared" ref="IP72:IP103" si="40">CS72+EC72+EL72+EU72</f>
        <v>0.5</v>
      </c>
      <c r="IQ72" s="47">
        <f t="shared" ref="IQ72:IQ103" si="41">CT72+ED72+EM72+EV72</f>
        <v>4.016</v>
      </c>
      <c r="IR72" s="47">
        <f t="shared" ref="IR72:IR103" si="42">CU72+EE72+EN72+EW72</f>
        <v>0</v>
      </c>
      <c r="IS72" s="47">
        <f t="shared" ref="IS72:IS103" si="43">CV72+EF72+EO72+EX72</f>
        <v>4.6840000000000002</v>
      </c>
      <c r="IT72" s="47">
        <f t="shared" ref="IT72:IT103" si="44">CW72+EG72+EP72+EY72</f>
        <v>0</v>
      </c>
      <c r="IU72" s="95">
        <f t="shared" ref="IU72:IU128" si="45">CX72+EH72+EQ72+EZ72</f>
        <v>0</v>
      </c>
      <c r="IV72" s="36">
        <v>7.6</v>
      </c>
      <c r="IW72" s="52">
        <v>1</v>
      </c>
      <c r="IX72" s="48"/>
    </row>
    <row r="73" spans="1:258" s="5" customFormat="1" ht="15.95" customHeight="1">
      <c r="A73" s="6">
        <v>67</v>
      </c>
      <c r="B73" s="46" t="s">
        <v>143</v>
      </c>
      <c r="C73" s="46" t="s">
        <v>137</v>
      </c>
      <c r="D73" s="46" t="s">
        <v>144</v>
      </c>
      <c r="E73" s="36">
        <v>19.7</v>
      </c>
      <c r="F73" s="47"/>
      <c r="G73" s="47">
        <v>700</v>
      </c>
      <c r="H73" s="47"/>
      <c r="I73" s="47">
        <v>700</v>
      </c>
      <c r="J73" s="47">
        <v>0</v>
      </c>
      <c r="K73" s="47"/>
      <c r="L73" s="47"/>
      <c r="M73" s="47"/>
      <c r="N73" s="47"/>
      <c r="O73" s="36"/>
      <c r="P73" s="36">
        <v>700</v>
      </c>
      <c r="Q73" s="36">
        <v>0</v>
      </c>
      <c r="R73" s="50"/>
      <c r="S73" s="50"/>
      <c r="T73" s="50"/>
      <c r="U73" s="50"/>
      <c r="V73" s="34">
        <v>0</v>
      </c>
      <c r="W73" s="34">
        <v>0</v>
      </c>
      <c r="X73" s="34">
        <v>0</v>
      </c>
      <c r="Y73" s="34">
        <v>0</v>
      </c>
      <c r="Z73" s="34"/>
      <c r="AA73" s="34"/>
      <c r="AB73" s="34"/>
      <c r="AC73" s="34"/>
      <c r="AD73" s="34">
        <v>0</v>
      </c>
      <c r="AE73" s="34">
        <v>0</v>
      </c>
      <c r="AF73" s="34">
        <v>0</v>
      </c>
      <c r="AG73" s="34"/>
      <c r="AH73" s="34"/>
      <c r="AI73" s="47"/>
      <c r="AJ73" s="47"/>
      <c r="AK73" s="47">
        <v>338</v>
      </c>
      <c r="AL73" s="47">
        <v>0</v>
      </c>
      <c r="AM73" s="47">
        <v>117</v>
      </c>
      <c r="AN73" s="92">
        <v>0</v>
      </c>
      <c r="AO73" s="47">
        <v>105</v>
      </c>
      <c r="AP73" s="47">
        <v>116</v>
      </c>
      <c r="AQ73" s="96"/>
      <c r="AR73" s="96"/>
      <c r="AS73" s="36">
        <v>0</v>
      </c>
      <c r="AT73" s="36">
        <v>0</v>
      </c>
      <c r="AU73" s="93">
        <v>117</v>
      </c>
      <c r="AV73" s="50"/>
      <c r="AW73" s="50">
        <v>221</v>
      </c>
      <c r="AX73" s="92"/>
      <c r="AY73" s="92"/>
      <c r="AZ73" s="47">
        <v>40</v>
      </c>
      <c r="BA73" s="47"/>
      <c r="BB73" s="92">
        <v>40</v>
      </c>
      <c r="BC73" s="47">
        <v>0</v>
      </c>
      <c r="BD73" s="47">
        <v>0</v>
      </c>
      <c r="BE73" s="47">
        <v>0</v>
      </c>
      <c r="BF73" s="96"/>
      <c r="BG73" s="96"/>
      <c r="BH73" s="47"/>
      <c r="BI73" s="93">
        <v>40</v>
      </c>
      <c r="BJ73" s="93">
        <v>0</v>
      </c>
      <c r="BK73" s="36">
        <v>0</v>
      </c>
      <c r="BL73" s="36">
        <v>0</v>
      </c>
      <c r="BM73" s="93"/>
      <c r="BN73" s="93"/>
      <c r="BO73" s="36">
        <v>1</v>
      </c>
      <c r="BP73" s="36">
        <v>0</v>
      </c>
      <c r="BQ73" s="36">
        <v>0</v>
      </c>
      <c r="BR73" s="36">
        <v>1</v>
      </c>
      <c r="BS73" s="36"/>
      <c r="BT73" s="36">
        <v>0</v>
      </c>
      <c r="BU73" s="36"/>
      <c r="BV73" s="36"/>
      <c r="BW73" s="36"/>
      <c r="BX73" s="36"/>
      <c r="BY73" s="35">
        <v>0</v>
      </c>
      <c r="BZ73" s="35">
        <v>0</v>
      </c>
      <c r="CA73" s="35"/>
      <c r="CB73" s="35"/>
      <c r="CC73" s="35">
        <v>0</v>
      </c>
      <c r="CD73" s="35"/>
      <c r="CE73" s="35"/>
      <c r="CF73" s="35"/>
      <c r="CG73" s="36"/>
      <c r="CH73" s="35"/>
      <c r="CI73" s="35"/>
      <c r="CJ73" s="35"/>
      <c r="CK73" s="35"/>
      <c r="CL73" s="35">
        <v>0</v>
      </c>
      <c r="CM73" s="51"/>
      <c r="CN73" s="51"/>
      <c r="CO73" s="51"/>
      <c r="CP73" s="51"/>
      <c r="CQ73" s="35">
        <v>4.5999999999999996</v>
      </c>
      <c r="CR73" s="35">
        <v>6</v>
      </c>
      <c r="CS73" s="35">
        <v>0</v>
      </c>
      <c r="CT73" s="35">
        <v>4.5999999999999996</v>
      </c>
      <c r="CU73" s="35">
        <v>0</v>
      </c>
      <c r="CV73" s="35">
        <v>0</v>
      </c>
      <c r="CW73" s="35"/>
      <c r="CX73" s="35"/>
      <c r="CY73" s="35"/>
      <c r="CZ73" s="36"/>
      <c r="DA73" s="35"/>
      <c r="DB73" s="35"/>
      <c r="DC73" s="35"/>
      <c r="DD73" s="35"/>
      <c r="DE73" s="35"/>
      <c r="DF73" s="35"/>
      <c r="DG73" s="35"/>
      <c r="DH73" s="35"/>
      <c r="DI73" s="36">
        <v>10</v>
      </c>
      <c r="DJ73" s="36">
        <v>17</v>
      </c>
      <c r="DK73" s="35">
        <v>14</v>
      </c>
      <c r="DL73" s="35">
        <v>0</v>
      </c>
      <c r="DM73" s="35">
        <v>3</v>
      </c>
      <c r="DN73" s="35">
        <v>0</v>
      </c>
      <c r="DO73" s="35">
        <v>0</v>
      </c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48"/>
      <c r="EA73" s="35"/>
      <c r="EB73" s="35"/>
      <c r="EC73" s="35"/>
      <c r="ED73" s="35"/>
      <c r="EE73" s="35"/>
      <c r="EF73" s="35"/>
      <c r="EG73" s="35"/>
      <c r="EH73" s="35"/>
      <c r="EI73" s="35"/>
      <c r="EJ73" s="35">
        <v>1</v>
      </c>
      <c r="EK73" s="35">
        <v>0</v>
      </c>
      <c r="EL73" s="35">
        <v>0.76</v>
      </c>
      <c r="EM73" s="35">
        <v>5.32</v>
      </c>
      <c r="EN73" s="35">
        <v>0</v>
      </c>
      <c r="EO73" s="35">
        <v>0</v>
      </c>
      <c r="EP73" s="35"/>
      <c r="EQ73" s="35"/>
      <c r="ER73" s="35"/>
      <c r="ES73" s="35">
        <v>0.04</v>
      </c>
      <c r="ET73" s="35">
        <v>0</v>
      </c>
      <c r="EU73" s="35">
        <v>0</v>
      </c>
      <c r="EV73" s="35">
        <v>0</v>
      </c>
      <c r="EW73" s="35">
        <v>0.02</v>
      </c>
      <c r="EX73" s="35">
        <v>0.02</v>
      </c>
      <c r="EY73" s="35"/>
      <c r="EZ73" s="35"/>
      <c r="FA73" s="35"/>
      <c r="FB73" s="36"/>
      <c r="FC73" s="35"/>
      <c r="FD73" s="35"/>
      <c r="FE73" s="35"/>
      <c r="FF73" s="35"/>
      <c r="FG73" s="35"/>
      <c r="FH73" s="35"/>
      <c r="FI73" s="35"/>
      <c r="FJ73" s="48"/>
      <c r="FK73" s="35">
        <v>400</v>
      </c>
      <c r="FL73" s="35">
        <v>0</v>
      </c>
      <c r="FM73" s="35">
        <v>0</v>
      </c>
      <c r="FN73" s="35">
        <v>0</v>
      </c>
      <c r="FO73" s="35"/>
      <c r="FP73" s="35">
        <v>400</v>
      </c>
      <c r="FQ73" s="35"/>
      <c r="FR73" s="35"/>
      <c r="FS73" s="35">
        <f t="shared" si="31"/>
        <v>0</v>
      </c>
      <c r="FT73" s="36"/>
      <c r="FU73" s="36"/>
      <c r="FV73" s="36"/>
      <c r="FW73" s="36"/>
      <c r="FX73" s="36"/>
      <c r="FY73" s="36"/>
      <c r="FZ73" s="36"/>
      <c r="GA73" s="48"/>
      <c r="GB73" s="36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6"/>
      <c r="HD73" s="36"/>
      <c r="HE73" s="36"/>
      <c r="HF73" s="36"/>
      <c r="HG73" s="36"/>
      <c r="HH73" s="36"/>
      <c r="HI73" s="36"/>
      <c r="HJ73" s="36"/>
      <c r="HK73" s="36"/>
      <c r="HL73" s="35">
        <v>1</v>
      </c>
      <c r="HM73" s="35">
        <v>0</v>
      </c>
      <c r="HN73" s="35">
        <v>0.5</v>
      </c>
      <c r="HO73" s="35">
        <v>0</v>
      </c>
      <c r="HP73" s="35">
        <v>0.5</v>
      </c>
      <c r="HQ73" s="35">
        <v>0</v>
      </c>
      <c r="HR73" s="35">
        <v>0</v>
      </c>
      <c r="HS73" s="35">
        <v>0</v>
      </c>
      <c r="HT73" s="36"/>
      <c r="HU73" s="35">
        <v>1</v>
      </c>
      <c r="HV73" s="35">
        <v>0</v>
      </c>
      <c r="HW73" s="35">
        <v>0</v>
      </c>
      <c r="HX73" s="35">
        <v>1</v>
      </c>
      <c r="HY73" s="35"/>
      <c r="HZ73" s="35"/>
      <c r="IA73" s="35"/>
      <c r="IB73" s="35"/>
      <c r="IC73" s="35"/>
      <c r="ID73" s="35"/>
      <c r="IE73" s="49"/>
      <c r="IF73" s="50">
        <f t="shared" si="32"/>
        <v>0</v>
      </c>
      <c r="IG73" s="50">
        <f t="shared" si="33"/>
        <v>0</v>
      </c>
      <c r="IH73" s="50">
        <f t="shared" si="34"/>
        <v>0</v>
      </c>
      <c r="II73" s="50">
        <f t="shared" si="35"/>
        <v>0</v>
      </c>
      <c r="IJ73" s="50">
        <f t="shared" si="36"/>
        <v>0</v>
      </c>
      <c r="IK73" s="50">
        <f t="shared" si="18"/>
        <v>0</v>
      </c>
      <c r="IL73" s="50">
        <f t="shared" si="37"/>
        <v>0</v>
      </c>
      <c r="IM73" s="50">
        <f t="shared" si="37"/>
        <v>0</v>
      </c>
      <c r="IN73" s="47">
        <f t="shared" si="38"/>
        <v>5.64</v>
      </c>
      <c r="IO73" s="47">
        <f t="shared" si="39"/>
        <v>6</v>
      </c>
      <c r="IP73" s="47">
        <f t="shared" si="40"/>
        <v>0.76</v>
      </c>
      <c r="IQ73" s="47">
        <f t="shared" si="41"/>
        <v>9.92</v>
      </c>
      <c r="IR73" s="47">
        <f t="shared" si="42"/>
        <v>0.02</v>
      </c>
      <c r="IS73" s="47">
        <f t="shared" si="43"/>
        <v>0.02</v>
      </c>
      <c r="IT73" s="47">
        <f t="shared" si="44"/>
        <v>0</v>
      </c>
      <c r="IU73" s="95">
        <f t="shared" si="45"/>
        <v>0</v>
      </c>
      <c r="IV73" s="36">
        <v>3.1</v>
      </c>
      <c r="IW73" s="52">
        <v>1</v>
      </c>
      <c r="IX73" s="48"/>
    </row>
    <row r="74" spans="1:258" s="5" customFormat="1" ht="15.95" customHeight="1">
      <c r="A74" s="6">
        <v>68</v>
      </c>
      <c r="B74" s="46" t="s">
        <v>145</v>
      </c>
      <c r="C74" s="46" t="s">
        <v>137</v>
      </c>
      <c r="D74" s="46" t="s">
        <v>144</v>
      </c>
      <c r="E74" s="36">
        <v>20.7</v>
      </c>
      <c r="F74" s="47"/>
      <c r="G74" s="47">
        <v>300</v>
      </c>
      <c r="H74" s="47"/>
      <c r="I74" s="47">
        <v>300</v>
      </c>
      <c r="J74" s="47">
        <v>0</v>
      </c>
      <c r="K74" s="47"/>
      <c r="L74" s="47"/>
      <c r="M74" s="47"/>
      <c r="N74" s="47"/>
      <c r="O74" s="36"/>
      <c r="P74" s="36">
        <v>300</v>
      </c>
      <c r="Q74" s="36">
        <v>0</v>
      </c>
      <c r="R74" s="50"/>
      <c r="S74" s="50"/>
      <c r="T74" s="50"/>
      <c r="U74" s="50"/>
      <c r="V74" s="34">
        <v>0</v>
      </c>
      <c r="W74" s="34">
        <v>0</v>
      </c>
      <c r="X74" s="34">
        <v>0</v>
      </c>
      <c r="Y74" s="34">
        <v>0</v>
      </c>
      <c r="Z74" s="34"/>
      <c r="AA74" s="34"/>
      <c r="AB74" s="34"/>
      <c r="AC74" s="34"/>
      <c r="AD74" s="34">
        <v>0</v>
      </c>
      <c r="AE74" s="34">
        <v>0</v>
      </c>
      <c r="AF74" s="34">
        <v>0</v>
      </c>
      <c r="AG74" s="34"/>
      <c r="AH74" s="34"/>
      <c r="AI74" s="47"/>
      <c r="AJ74" s="47"/>
      <c r="AK74" s="47">
        <v>1510</v>
      </c>
      <c r="AL74" s="47">
        <v>0</v>
      </c>
      <c r="AM74" s="47">
        <v>160</v>
      </c>
      <c r="AN74" s="92">
        <v>440</v>
      </c>
      <c r="AO74" s="47">
        <v>0</v>
      </c>
      <c r="AP74" s="47">
        <v>910</v>
      </c>
      <c r="AQ74" s="96"/>
      <c r="AR74" s="96"/>
      <c r="AS74" s="36">
        <v>0</v>
      </c>
      <c r="AT74" s="36">
        <v>0</v>
      </c>
      <c r="AU74" s="93">
        <v>30</v>
      </c>
      <c r="AV74" s="50"/>
      <c r="AW74" s="50">
        <v>1480</v>
      </c>
      <c r="AX74" s="92"/>
      <c r="AY74" s="92"/>
      <c r="AZ74" s="47">
        <v>0</v>
      </c>
      <c r="BA74" s="47"/>
      <c r="BB74" s="92">
        <v>0</v>
      </c>
      <c r="BC74" s="47">
        <v>0</v>
      </c>
      <c r="BD74" s="47"/>
      <c r="BE74" s="47">
        <v>0</v>
      </c>
      <c r="BF74" s="96"/>
      <c r="BG74" s="96"/>
      <c r="BH74" s="47"/>
      <c r="BI74" s="93">
        <v>0</v>
      </c>
      <c r="BJ74" s="93">
        <v>0</v>
      </c>
      <c r="BK74" s="36">
        <v>0</v>
      </c>
      <c r="BL74" s="36">
        <v>0</v>
      </c>
      <c r="BM74" s="93"/>
      <c r="BN74" s="93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5"/>
      <c r="BZ74" s="35"/>
      <c r="CA74" s="35"/>
      <c r="CB74" s="35"/>
      <c r="CC74" s="35"/>
      <c r="CD74" s="35"/>
      <c r="CE74" s="35"/>
      <c r="CF74" s="35"/>
      <c r="CG74" s="36"/>
      <c r="CH74" s="35"/>
      <c r="CI74" s="35"/>
      <c r="CJ74" s="35"/>
      <c r="CK74" s="35"/>
      <c r="CL74" s="35"/>
      <c r="CM74" s="51"/>
      <c r="CN74" s="51"/>
      <c r="CO74" s="51"/>
      <c r="CP74" s="51"/>
      <c r="CQ74" s="35">
        <v>6.6</v>
      </c>
      <c r="CR74" s="35">
        <v>0</v>
      </c>
      <c r="CS74" s="35">
        <v>0</v>
      </c>
      <c r="CT74" s="35">
        <v>5.47</v>
      </c>
      <c r="CU74" s="35">
        <v>1.1299999999999999</v>
      </c>
      <c r="CV74" s="35">
        <v>0</v>
      </c>
      <c r="CW74" s="35"/>
      <c r="CX74" s="35"/>
      <c r="CY74" s="35"/>
      <c r="CZ74" s="36"/>
      <c r="DA74" s="35"/>
      <c r="DB74" s="35"/>
      <c r="DC74" s="35"/>
      <c r="DD74" s="35"/>
      <c r="DE74" s="35"/>
      <c r="DF74" s="35"/>
      <c r="DG74" s="35"/>
      <c r="DH74" s="35"/>
      <c r="DI74" s="36">
        <v>2</v>
      </c>
      <c r="DJ74" s="36">
        <v>5</v>
      </c>
      <c r="DK74" s="35">
        <v>2</v>
      </c>
      <c r="DL74" s="35">
        <v>0</v>
      </c>
      <c r="DM74" s="35">
        <v>3</v>
      </c>
      <c r="DN74" s="35">
        <v>0</v>
      </c>
      <c r="DO74" s="35">
        <v>0</v>
      </c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48"/>
      <c r="EA74" s="35">
        <v>3.5</v>
      </c>
      <c r="EB74" s="35">
        <v>1</v>
      </c>
      <c r="EC74" s="35">
        <v>0</v>
      </c>
      <c r="ED74" s="35">
        <v>0</v>
      </c>
      <c r="EE74" s="35"/>
      <c r="EF74" s="35">
        <v>2.5</v>
      </c>
      <c r="EG74" s="35"/>
      <c r="EH74" s="35"/>
      <c r="EI74" s="35"/>
      <c r="EJ74" s="35">
        <v>1.7</v>
      </c>
      <c r="EK74" s="35">
        <v>0</v>
      </c>
      <c r="EL74" s="35">
        <v>0.34</v>
      </c>
      <c r="EM74" s="35">
        <v>0.03</v>
      </c>
      <c r="EN74" s="35">
        <v>0</v>
      </c>
      <c r="EO74" s="35">
        <v>1.33</v>
      </c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6"/>
      <c r="FC74" s="35"/>
      <c r="FD74" s="35"/>
      <c r="FE74" s="35"/>
      <c r="FF74" s="35"/>
      <c r="FG74" s="35"/>
      <c r="FH74" s="35"/>
      <c r="FI74" s="35"/>
      <c r="FJ74" s="48"/>
      <c r="FK74" s="35">
        <v>200</v>
      </c>
      <c r="FL74" s="35">
        <v>0</v>
      </c>
      <c r="FM74" s="35">
        <v>0</v>
      </c>
      <c r="FN74" s="35">
        <v>200</v>
      </c>
      <c r="FO74" s="35"/>
      <c r="FP74" s="35">
        <v>0</v>
      </c>
      <c r="FQ74" s="35"/>
      <c r="FR74" s="35"/>
      <c r="FS74" s="35">
        <f t="shared" si="31"/>
        <v>0</v>
      </c>
      <c r="FT74" s="36">
        <v>12</v>
      </c>
      <c r="FU74" s="36">
        <v>0</v>
      </c>
      <c r="FV74" s="36">
        <v>25</v>
      </c>
      <c r="FW74" s="36">
        <v>3</v>
      </c>
      <c r="FX74" s="36">
        <v>0</v>
      </c>
      <c r="FY74" s="36"/>
      <c r="FZ74" s="36"/>
      <c r="GA74" s="48"/>
      <c r="GB74" s="36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6"/>
      <c r="HD74" s="36"/>
      <c r="HE74" s="36"/>
      <c r="HF74" s="36"/>
      <c r="HG74" s="36"/>
      <c r="HH74" s="36"/>
      <c r="HI74" s="36"/>
      <c r="HJ74" s="36"/>
      <c r="HK74" s="36"/>
      <c r="HL74" s="35"/>
      <c r="HM74" s="35"/>
      <c r="HN74" s="35"/>
      <c r="HO74" s="35"/>
      <c r="HP74" s="35"/>
      <c r="HQ74" s="35"/>
      <c r="HR74" s="35">
        <v>0</v>
      </c>
      <c r="HS74" s="35">
        <v>0</v>
      </c>
      <c r="HT74" s="36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49"/>
      <c r="IF74" s="50">
        <f t="shared" si="32"/>
        <v>0</v>
      </c>
      <c r="IG74" s="50">
        <f t="shared" si="33"/>
        <v>0</v>
      </c>
      <c r="IH74" s="50">
        <f t="shared" si="34"/>
        <v>0</v>
      </c>
      <c r="II74" s="50">
        <f t="shared" si="35"/>
        <v>0</v>
      </c>
      <c r="IJ74" s="50">
        <f t="shared" si="36"/>
        <v>0</v>
      </c>
      <c r="IK74" s="50">
        <f t="shared" si="18"/>
        <v>0</v>
      </c>
      <c r="IL74" s="50">
        <f t="shared" si="37"/>
        <v>0</v>
      </c>
      <c r="IM74" s="50">
        <f t="shared" si="37"/>
        <v>0</v>
      </c>
      <c r="IN74" s="47">
        <f t="shared" si="38"/>
        <v>11.799999999999999</v>
      </c>
      <c r="IO74" s="47">
        <f t="shared" si="39"/>
        <v>1</v>
      </c>
      <c r="IP74" s="47">
        <f t="shared" si="40"/>
        <v>0.34</v>
      </c>
      <c r="IQ74" s="47">
        <f t="shared" si="41"/>
        <v>5.5</v>
      </c>
      <c r="IR74" s="47">
        <f t="shared" si="42"/>
        <v>1.1299999999999999</v>
      </c>
      <c r="IS74" s="47">
        <f t="shared" si="43"/>
        <v>3.83</v>
      </c>
      <c r="IT74" s="47">
        <f t="shared" si="44"/>
        <v>0</v>
      </c>
      <c r="IU74" s="95">
        <f t="shared" si="45"/>
        <v>0</v>
      </c>
      <c r="IV74" s="36">
        <v>3.2</v>
      </c>
      <c r="IW74" s="52">
        <v>1</v>
      </c>
      <c r="IX74" s="48"/>
    </row>
    <row r="75" spans="1:258" s="5" customFormat="1" ht="15.95" customHeight="1">
      <c r="A75" s="6">
        <v>69</v>
      </c>
      <c r="B75" s="46" t="s">
        <v>146</v>
      </c>
      <c r="C75" s="46" t="s">
        <v>137</v>
      </c>
      <c r="D75" s="46" t="s">
        <v>144</v>
      </c>
      <c r="E75" s="36">
        <v>21.7</v>
      </c>
      <c r="F75" s="47"/>
      <c r="G75" s="47">
        <v>700</v>
      </c>
      <c r="H75" s="47"/>
      <c r="I75" s="47">
        <v>700</v>
      </c>
      <c r="J75" s="47">
        <v>0</v>
      </c>
      <c r="K75" s="47"/>
      <c r="L75" s="47"/>
      <c r="M75" s="47"/>
      <c r="N75" s="47"/>
      <c r="O75" s="36"/>
      <c r="P75" s="36">
        <v>700</v>
      </c>
      <c r="Q75" s="36">
        <v>0</v>
      </c>
      <c r="R75" s="50"/>
      <c r="S75" s="50"/>
      <c r="T75" s="50"/>
      <c r="U75" s="50"/>
      <c r="V75" s="34">
        <v>0</v>
      </c>
      <c r="W75" s="34">
        <v>0</v>
      </c>
      <c r="X75" s="34">
        <v>0</v>
      </c>
      <c r="Y75" s="34">
        <v>0</v>
      </c>
      <c r="Z75" s="34"/>
      <c r="AA75" s="34"/>
      <c r="AB75" s="34"/>
      <c r="AC75" s="34"/>
      <c r="AD75" s="34">
        <v>0</v>
      </c>
      <c r="AE75" s="34">
        <v>0</v>
      </c>
      <c r="AF75" s="34">
        <v>0</v>
      </c>
      <c r="AG75" s="34"/>
      <c r="AH75" s="34"/>
      <c r="AI75" s="47"/>
      <c r="AJ75" s="47"/>
      <c r="AK75" s="47">
        <v>255</v>
      </c>
      <c r="AL75" s="47">
        <v>0</v>
      </c>
      <c r="AM75" s="47">
        <v>40</v>
      </c>
      <c r="AN75" s="92">
        <v>65</v>
      </c>
      <c r="AO75" s="47">
        <v>0</v>
      </c>
      <c r="AP75" s="47">
        <v>150</v>
      </c>
      <c r="AQ75" s="96"/>
      <c r="AR75" s="96"/>
      <c r="AS75" s="36">
        <v>0</v>
      </c>
      <c r="AT75" s="36">
        <v>0</v>
      </c>
      <c r="AU75" s="93">
        <v>17</v>
      </c>
      <c r="AV75" s="50"/>
      <c r="AW75" s="50">
        <v>238</v>
      </c>
      <c r="AX75" s="92"/>
      <c r="AY75" s="92"/>
      <c r="AZ75" s="47">
        <v>40</v>
      </c>
      <c r="BA75" s="47"/>
      <c r="BB75" s="92">
        <v>40</v>
      </c>
      <c r="BC75" s="47">
        <v>0</v>
      </c>
      <c r="BD75" s="47">
        <v>0</v>
      </c>
      <c r="BE75" s="47"/>
      <c r="BF75" s="96"/>
      <c r="BG75" s="96"/>
      <c r="BH75" s="47"/>
      <c r="BI75" s="93">
        <v>40</v>
      </c>
      <c r="BJ75" s="93">
        <v>0</v>
      </c>
      <c r="BK75" s="36">
        <v>0</v>
      </c>
      <c r="BL75" s="36"/>
      <c r="BM75" s="93"/>
      <c r="BN75" s="93"/>
      <c r="BO75" s="36"/>
      <c r="BP75" s="36"/>
      <c r="BQ75" s="36"/>
      <c r="BR75" s="36">
        <v>0</v>
      </c>
      <c r="BS75" s="36"/>
      <c r="BT75" s="36"/>
      <c r="BU75" s="36"/>
      <c r="BV75" s="36"/>
      <c r="BW75" s="36"/>
      <c r="BX75" s="36"/>
      <c r="BY75" s="35"/>
      <c r="BZ75" s="35"/>
      <c r="CA75" s="35">
        <v>0</v>
      </c>
      <c r="CB75" s="35"/>
      <c r="CC75" s="35"/>
      <c r="CD75" s="35"/>
      <c r="CE75" s="35"/>
      <c r="CF75" s="35"/>
      <c r="CG75" s="36"/>
      <c r="CH75" s="35"/>
      <c r="CI75" s="35"/>
      <c r="CJ75" s="35">
        <v>0</v>
      </c>
      <c r="CK75" s="35"/>
      <c r="CL75" s="35"/>
      <c r="CM75" s="51"/>
      <c r="CN75" s="51"/>
      <c r="CO75" s="51"/>
      <c r="CP75" s="51"/>
      <c r="CQ75" s="35">
        <v>5</v>
      </c>
      <c r="CR75" s="35">
        <v>0</v>
      </c>
      <c r="CS75" s="35">
        <v>0</v>
      </c>
      <c r="CT75" s="35">
        <v>0</v>
      </c>
      <c r="CU75" s="35">
        <v>0</v>
      </c>
      <c r="CV75" s="35">
        <v>5</v>
      </c>
      <c r="CW75" s="35"/>
      <c r="CX75" s="35"/>
      <c r="CY75" s="35"/>
      <c r="CZ75" s="36"/>
      <c r="DA75" s="35"/>
      <c r="DB75" s="35"/>
      <c r="DC75" s="35"/>
      <c r="DD75" s="35"/>
      <c r="DE75" s="35"/>
      <c r="DF75" s="35"/>
      <c r="DG75" s="35"/>
      <c r="DH75" s="35"/>
      <c r="DI75" s="36">
        <v>3</v>
      </c>
      <c r="DJ75" s="36">
        <v>6</v>
      </c>
      <c r="DK75" s="35">
        <v>3</v>
      </c>
      <c r="DL75" s="35">
        <v>0</v>
      </c>
      <c r="DM75" s="35">
        <v>0</v>
      </c>
      <c r="DN75" s="35">
        <v>0</v>
      </c>
      <c r="DO75" s="35">
        <v>3</v>
      </c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48"/>
      <c r="EA75" s="35"/>
      <c r="EB75" s="35"/>
      <c r="EC75" s="35"/>
      <c r="ED75" s="35"/>
      <c r="EE75" s="35"/>
      <c r="EF75" s="35"/>
      <c r="EG75" s="35"/>
      <c r="EH75" s="35"/>
      <c r="EI75" s="35"/>
      <c r="EJ75" s="35">
        <v>1</v>
      </c>
      <c r="EK75" s="35">
        <v>0</v>
      </c>
      <c r="EL75" s="35">
        <v>0.4</v>
      </c>
      <c r="EM75" s="35">
        <v>0.2</v>
      </c>
      <c r="EN75" s="35">
        <v>0</v>
      </c>
      <c r="EO75" s="35">
        <v>0.4</v>
      </c>
      <c r="EP75" s="35"/>
      <c r="EQ75" s="35"/>
      <c r="ER75" s="35"/>
      <c r="ES75" s="35">
        <f>(150*10)/10000</f>
        <v>0.15</v>
      </c>
      <c r="ET75" s="35">
        <v>0</v>
      </c>
      <c r="EU75" s="35">
        <v>0</v>
      </c>
      <c r="EV75" s="35">
        <v>4.4999999999999998E-2</v>
      </c>
      <c r="EW75" s="35">
        <v>0</v>
      </c>
      <c r="EX75" s="35">
        <v>0.105</v>
      </c>
      <c r="EY75" s="35"/>
      <c r="EZ75" s="35"/>
      <c r="FA75" s="35"/>
      <c r="FB75" s="36"/>
      <c r="FC75" s="35"/>
      <c r="FD75" s="35"/>
      <c r="FE75" s="35"/>
      <c r="FF75" s="35"/>
      <c r="FG75" s="35"/>
      <c r="FH75" s="35"/>
      <c r="FI75" s="35"/>
      <c r="FJ75" s="48"/>
      <c r="FK75" s="35"/>
      <c r="FL75" s="35"/>
      <c r="FM75" s="35"/>
      <c r="FN75" s="35"/>
      <c r="FO75" s="35"/>
      <c r="FP75" s="35"/>
      <c r="FQ75" s="35"/>
      <c r="FR75" s="35"/>
      <c r="FS75" s="35">
        <f t="shared" si="31"/>
        <v>0</v>
      </c>
      <c r="FT75" s="36"/>
      <c r="FU75" s="36"/>
      <c r="FV75" s="36"/>
      <c r="FW75" s="36"/>
      <c r="FX75" s="36"/>
      <c r="FY75" s="36"/>
      <c r="FZ75" s="36"/>
      <c r="GA75" s="48"/>
      <c r="GB75" s="36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>
        <v>0</v>
      </c>
      <c r="HS75" s="36">
        <v>0</v>
      </c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49"/>
      <c r="IF75" s="50">
        <f t="shared" si="32"/>
        <v>0</v>
      </c>
      <c r="IG75" s="50">
        <f t="shared" si="33"/>
        <v>0</v>
      </c>
      <c r="IH75" s="50">
        <f t="shared" si="34"/>
        <v>0</v>
      </c>
      <c r="II75" s="50">
        <f t="shared" si="35"/>
        <v>0</v>
      </c>
      <c r="IJ75" s="50">
        <f t="shared" si="36"/>
        <v>0</v>
      </c>
      <c r="IK75" s="50">
        <f t="shared" si="18"/>
        <v>0</v>
      </c>
      <c r="IL75" s="50">
        <f t="shared" si="37"/>
        <v>0</v>
      </c>
      <c r="IM75" s="50">
        <f t="shared" si="37"/>
        <v>0</v>
      </c>
      <c r="IN75" s="47">
        <f t="shared" si="38"/>
        <v>6.15</v>
      </c>
      <c r="IO75" s="47">
        <f t="shared" si="39"/>
        <v>0</v>
      </c>
      <c r="IP75" s="47">
        <f t="shared" si="40"/>
        <v>0.4</v>
      </c>
      <c r="IQ75" s="47">
        <f t="shared" si="41"/>
        <v>0.245</v>
      </c>
      <c r="IR75" s="47">
        <f t="shared" si="42"/>
        <v>0</v>
      </c>
      <c r="IS75" s="47">
        <f t="shared" si="43"/>
        <v>5.5050000000000008</v>
      </c>
      <c r="IT75" s="47">
        <f t="shared" si="44"/>
        <v>0</v>
      </c>
      <c r="IU75" s="95">
        <f t="shared" si="45"/>
        <v>0</v>
      </c>
      <c r="IV75" s="36">
        <v>1.7</v>
      </c>
      <c r="IW75" s="52">
        <v>1</v>
      </c>
      <c r="IX75" s="48"/>
    </row>
    <row r="76" spans="1:258" s="5" customFormat="1" ht="15.95" customHeight="1">
      <c r="A76" s="12">
        <v>70</v>
      </c>
      <c r="B76" s="46" t="s">
        <v>147</v>
      </c>
      <c r="C76" s="46" t="s">
        <v>137</v>
      </c>
      <c r="D76" s="46" t="s">
        <v>144</v>
      </c>
      <c r="E76" s="36">
        <v>17</v>
      </c>
      <c r="F76" s="47"/>
      <c r="G76" s="47">
        <v>200</v>
      </c>
      <c r="H76" s="47"/>
      <c r="I76" s="47">
        <v>200</v>
      </c>
      <c r="J76" s="47">
        <v>0</v>
      </c>
      <c r="K76" s="47"/>
      <c r="L76" s="47"/>
      <c r="M76" s="47"/>
      <c r="N76" s="47"/>
      <c r="O76" s="36"/>
      <c r="P76" s="36">
        <v>200</v>
      </c>
      <c r="Q76" s="36">
        <v>0</v>
      </c>
      <c r="R76" s="50"/>
      <c r="S76" s="50"/>
      <c r="T76" s="50"/>
      <c r="U76" s="50"/>
      <c r="V76" s="34">
        <v>0</v>
      </c>
      <c r="W76" s="34">
        <v>0</v>
      </c>
      <c r="X76" s="34">
        <v>0</v>
      </c>
      <c r="Y76" s="34">
        <v>0</v>
      </c>
      <c r="Z76" s="34"/>
      <c r="AA76" s="34"/>
      <c r="AB76" s="34"/>
      <c r="AC76" s="34"/>
      <c r="AD76" s="34">
        <v>0</v>
      </c>
      <c r="AE76" s="34">
        <v>0</v>
      </c>
      <c r="AF76" s="34">
        <v>0</v>
      </c>
      <c r="AG76" s="34"/>
      <c r="AH76" s="34"/>
      <c r="AI76" s="47"/>
      <c r="AJ76" s="47"/>
      <c r="AK76" s="47">
        <v>120</v>
      </c>
      <c r="AL76" s="47">
        <v>0</v>
      </c>
      <c r="AM76" s="47">
        <v>5</v>
      </c>
      <c r="AN76" s="92">
        <v>55</v>
      </c>
      <c r="AO76" s="47">
        <v>60</v>
      </c>
      <c r="AP76" s="47">
        <v>0</v>
      </c>
      <c r="AQ76" s="96"/>
      <c r="AR76" s="96"/>
      <c r="AS76" s="36">
        <v>0</v>
      </c>
      <c r="AT76" s="36">
        <v>0</v>
      </c>
      <c r="AU76" s="93">
        <v>5</v>
      </c>
      <c r="AV76" s="50"/>
      <c r="AW76" s="50">
        <v>115</v>
      </c>
      <c r="AX76" s="92"/>
      <c r="AY76" s="92"/>
      <c r="AZ76" s="47">
        <v>60</v>
      </c>
      <c r="BA76" s="47"/>
      <c r="BB76" s="92">
        <v>60</v>
      </c>
      <c r="BC76" s="47">
        <v>0</v>
      </c>
      <c r="BD76" s="47">
        <v>0</v>
      </c>
      <c r="BE76" s="47">
        <v>0</v>
      </c>
      <c r="BF76" s="96"/>
      <c r="BG76" s="96"/>
      <c r="BH76" s="47"/>
      <c r="BI76" s="93">
        <v>60</v>
      </c>
      <c r="BJ76" s="93">
        <v>0</v>
      </c>
      <c r="BK76" s="36">
        <v>0</v>
      </c>
      <c r="BL76" s="36">
        <v>0</v>
      </c>
      <c r="BM76" s="93"/>
      <c r="BN76" s="93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5"/>
      <c r="BZ76" s="35"/>
      <c r="CA76" s="35"/>
      <c r="CB76" s="35"/>
      <c r="CC76" s="35"/>
      <c r="CD76" s="35"/>
      <c r="CE76" s="35"/>
      <c r="CF76" s="35"/>
      <c r="CG76" s="36"/>
      <c r="CH76" s="35"/>
      <c r="CI76" s="35"/>
      <c r="CJ76" s="35"/>
      <c r="CK76" s="35"/>
      <c r="CL76" s="35"/>
      <c r="CM76" s="51"/>
      <c r="CN76" s="51"/>
      <c r="CO76" s="51"/>
      <c r="CP76" s="51"/>
      <c r="CQ76" s="35">
        <v>7.8</v>
      </c>
      <c r="CR76" s="35">
        <v>6</v>
      </c>
      <c r="CS76" s="35">
        <v>0</v>
      </c>
      <c r="CT76" s="35">
        <v>0</v>
      </c>
      <c r="CU76" s="35">
        <v>0</v>
      </c>
      <c r="CV76" s="35">
        <v>1.8</v>
      </c>
      <c r="CW76" s="35"/>
      <c r="CX76" s="35"/>
      <c r="CY76" s="35"/>
      <c r="CZ76" s="36"/>
      <c r="DA76" s="35"/>
      <c r="DB76" s="35"/>
      <c r="DC76" s="35"/>
      <c r="DD76" s="35"/>
      <c r="DE76" s="35"/>
      <c r="DF76" s="35"/>
      <c r="DG76" s="35"/>
      <c r="DH76" s="35"/>
      <c r="DI76" s="36">
        <v>1</v>
      </c>
      <c r="DJ76" s="36">
        <v>20</v>
      </c>
      <c r="DK76" s="35">
        <v>14</v>
      </c>
      <c r="DL76" s="35">
        <v>0</v>
      </c>
      <c r="DM76" s="35">
        <v>4</v>
      </c>
      <c r="DN76" s="35">
        <v>0</v>
      </c>
      <c r="DO76" s="35">
        <v>2</v>
      </c>
      <c r="DP76" s="35"/>
      <c r="DQ76" s="35"/>
      <c r="DR76" s="35"/>
      <c r="DS76" s="36"/>
      <c r="DT76" s="36"/>
      <c r="DU76" s="36"/>
      <c r="DV76" s="36"/>
      <c r="DW76" s="36"/>
      <c r="DX76" s="36"/>
      <c r="DY76" s="36"/>
      <c r="DZ76" s="48"/>
      <c r="EA76" s="35"/>
      <c r="EB76" s="35"/>
      <c r="EC76" s="35"/>
      <c r="ED76" s="35"/>
      <c r="EE76" s="35"/>
      <c r="EF76" s="35"/>
      <c r="EG76" s="35"/>
      <c r="EH76" s="35"/>
      <c r="EI76" s="35"/>
      <c r="EJ76" s="35">
        <v>0.6</v>
      </c>
      <c r="EK76" s="35">
        <v>0</v>
      </c>
      <c r="EL76" s="35">
        <v>0.41</v>
      </c>
      <c r="EM76" s="35"/>
      <c r="EN76" s="35">
        <v>0</v>
      </c>
      <c r="EO76" s="35">
        <v>0.19</v>
      </c>
      <c r="EP76" s="35"/>
      <c r="EQ76" s="35"/>
      <c r="ER76" s="35"/>
      <c r="ES76" s="35">
        <v>0.2</v>
      </c>
      <c r="ET76" s="35">
        <v>0</v>
      </c>
      <c r="EU76" s="35">
        <v>0</v>
      </c>
      <c r="EV76" s="35">
        <v>7.4999999999999997E-2</v>
      </c>
      <c r="EW76" s="35">
        <v>0</v>
      </c>
      <c r="EX76" s="35">
        <v>0.125</v>
      </c>
      <c r="EY76" s="35"/>
      <c r="EZ76" s="35"/>
      <c r="FA76" s="35"/>
      <c r="FB76" s="36"/>
      <c r="FC76" s="35"/>
      <c r="FD76" s="35"/>
      <c r="FE76" s="35">
        <v>0</v>
      </c>
      <c r="FF76" s="35"/>
      <c r="FG76" s="35"/>
      <c r="FH76" s="35"/>
      <c r="FI76" s="35"/>
      <c r="FJ76" s="48"/>
      <c r="FK76" s="35">
        <v>1000</v>
      </c>
      <c r="FL76" s="35">
        <v>800</v>
      </c>
      <c r="FM76" s="35">
        <v>0</v>
      </c>
      <c r="FN76" s="35">
        <v>200</v>
      </c>
      <c r="FO76" s="35"/>
      <c r="FP76" s="35">
        <v>0</v>
      </c>
      <c r="FQ76" s="35"/>
      <c r="FR76" s="35"/>
      <c r="FS76" s="35">
        <f t="shared" si="31"/>
        <v>0</v>
      </c>
      <c r="FT76" s="36">
        <v>1</v>
      </c>
      <c r="FU76" s="36">
        <v>0</v>
      </c>
      <c r="FV76" s="36">
        <v>0</v>
      </c>
      <c r="FW76" s="36"/>
      <c r="FX76" s="36">
        <v>0</v>
      </c>
      <c r="FY76" s="36"/>
      <c r="FZ76" s="36"/>
      <c r="GA76" s="48"/>
      <c r="GB76" s="36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6"/>
      <c r="HD76" s="36"/>
      <c r="HE76" s="36"/>
      <c r="HF76" s="36"/>
      <c r="HG76" s="36"/>
      <c r="HH76" s="36"/>
      <c r="HI76" s="36"/>
      <c r="HJ76" s="36"/>
      <c r="HK76" s="36"/>
      <c r="HL76" s="36">
        <v>1</v>
      </c>
      <c r="HM76" s="36">
        <v>0</v>
      </c>
      <c r="HN76" s="36">
        <v>0</v>
      </c>
      <c r="HO76" s="36">
        <v>0</v>
      </c>
      <c r="HP76" s="36">
        <v>1</v>
      </c>
      <c r="HQ76" s="36">
        <v>0</v>
      </c>
      <c r="HR76" s="36">
        <v>0</v>
      </c>
      <c r="HS76" s="36">
        <v>0</v>
      </c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49"/>
      <c r="IF76" s="50">
        <f t="shared" si="32"/>
        <v>0</v>
      </c>
      <c r="IG76" s="50">
        <f t="shared" si="33"/>
        <v>0</v>
      </c>
      <c r="IH76" s="50">
        <f t="shared" si="34"/>
        <v>0</v>
      </c>
      <c r="II76" s="50">
        <f t="shared" si="35"/>
        <v>0</v>
      </c>
      <c r="IJ76" s="50">
        <f t="shared" si="36"/>
        <v>0</v>
      </c>
      <c r="IK76" s="50">
        <f t="shared" si="18"/>
        <v>0</v>
      </c>
      <c r="IL76" s="50">
        <f t="shared" si="37"/>
        <v>0</v>
      </c>
      <c r="IM76" s="50">
        <f t="shared" si="37"/>
        <v>0</v>
      </c>
      <c r="IN76" s="47">
        <f t="shared" si="38"/>
        <v>8.6</v>
      </c>
      <c r="IO76" s="47">
        <f t="shared" si="39"/>
        <v>6</v>
      </c>
      <c r="IP76" s="47">
        <f t="shared" si="40"/>
        <v>0.41</v>
      </c>
      <c r="IQ76" s="47">
        <f t="shared" si="41"/>
        <v>7.4999999999999997E-2</v>
      </c>
      <c r="IR76" s="47">
        <f t="shared" si="42"/>
        <v>0</v>
      </c>
      <c r="IS76" s="47">
        <f t="shared" si="43"/>
        <v>2.1150000000000002</v>
      </c>
      <c r="IT76" s="47">
        <f t="shared" si="44"/>
        <v>0</v>
      </c>
      <c r="IU76" s="95">
        <f t="shared" si="45"/>
        <v>0</v>
      </c>
      <c r="IV76" s="36">
        <v>1.8</v>
      </c>
      <c r="IW76" s="52">
        <v>1</v>
      </c>
      <c r="IX76" s="48"/>
    </row>
    <row r="77" spans="1:258" s="5" customFormat="1" ht="15.95" customHeight="1">
      <c r="A77" s="6">
        <v>71</v>
      </c>
      <c r="B77" s="46" t="s">
        <v>148</v>
      </c>
      <c r="C77" s="46" t="s">
        <v>137</v>
      </c>
      <c r="D77" s="46" t="s">
        <v>144</v>
      </c>
      <c r="E77" s="36">
        <v>28.8</v>
      </c>
      <c r="F77" s="47"/>
      <c r="G77" s="47">
        <v>300</v>
      </c>
      <c r="H77" s="47"/>
      <c r="I77" s="47">
        <v>300</v>
      </c>
      <c r="J77" s="47">
        <v>0</v>
      </c>
      <c r="K77" s="47"/>
      <c r="L77" s="47"/>
      <c r="M77" s="47"/>
      <c r="N77" s="47"/>
      <c r="O77" s="36"/>
      <c r="P77" s="36">
        <v>300</v>
      </c>
      <c r="Q77" s="36">
        <v>0</v>
      </c>
      <c r="R77" s="50"/>
      <c r="S77" s="50"/>
      <c r="T77" s="50"/>
      <c r="U77" s="50"/>
      <c r="V77" s="34">
        <v>0</v>
      </c>
      <c r="W77" s="34">
        <v>0</v>
      </c>
      <c r="X77" s="34">
        <v>0</v>
      </c>
      <c r="Y77" s="34">
        <v>0</v>
      </c>
      <c r="Z77" s="34"/>
      <c r="AA77" s="34"/>
      <c r="AB77" s="34"/>
      <c r="AC77" s="34"/>
      <c r="AD77" s="34">
        <v>0</v>
      </c>
      <c r="AE77" s="34">
        <v>0</v>
      </c>
      <c r="AF77" s="34">
        <v>0</v>
      </c>
      <c r="AG77" s="34"/>
      <c r="AH77" s="34"/>
      <c r="AI77" s="47"/>
      <c r="AJ77" s="47"/>
      <c r="AK77" s="47">
        <v>285</v>
      </c>
      <c r="AL77" s="47">
        <v>0</v>
      </c>
      <c r="AM77" s="47">
        <v>60</v>
      </c>
      <c r="AN77" s="92">
        <v>25</v>
      </c>
      <c r="AO77" s="47">
        <v>112</v>
      </c>
      <c r="AP77" s="47">
        <v>88</v>
      </c>
      <c r="AQ77" s="96"/>
      <c r="AR77" s="96"/>
      <c r="AS77" s="36">
        <v>0</v>
      </c>
      <c r="AT77" s="36">
        <v>0</v>
      </c>
      <c r="AU77" s="93">
        <v>25</v>
      </c>
      <c r="AV77" s="50"/>
      <c r="AW77" s="50">
        <v>260</v>
      </c>
      <c r="AX77" s="92"/>
      <c r="AY77" s="92"/>
      <c r="AZ77" s="47">
        <v>80</v>
      </c>
      <c r="BA77" s="47"/>
      <c r="BB77" s="92">
        <v>80</v>
      </c>
      <c r="BC77" s="47">
        <v>0</v>
      </c>
      <c r="BD77" s="47">
        <v>0</v>
      </c>
      <c r="BE77" s="47">
        <v>0</v>
      </c>
      <c r="BF77" s="96"/>
      <c r="BG77" s="96"/>
      <c r="BH77" s="47"/>
      <c r="BI77" s="93">
        <v>80</v>
      </c>
      <c r="BJ77" s="93">
        <v>0</v>
      </c>
      <c r="BK77" s="36">
        <v>0</v>
      </c>
      <c r="BL77" s="36">
        <v>0</v>
      </c>
      <c r="BM77" s="93"/>
      <c r="BN77" s="93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5"/>
      <c r="BZ77" s="35"/>
      <c r="CA77" s="35"/>
      <c r="CB77" s="35"/>
      <c r="CC77" s="35"/>
      <c r="CD77" s="35"/>
      <c r="CE77" s="35"/>
      <c r="CF77" s="35"/>
      <c r="CG77" s="36"/>
      <c r="CH77" s="35"/>
      <c r="CI77" s="35"/>
      <c r="CJ77" s="35"/>
      <c r="CK77" s="35"/>
      <c r="CL77" s="35"/>
      <c r="CM77" s="51"/>
      <c r="CN77" s="51"/>
      <c r="CO77" s="51"/>
      <c r="CP77" s="51"/>
      <c r="CQ77" s="35">
        <v>11.9</v>
      </c>
      <c r="CR77" s="35">
        <v>0</v>
      </c>
      <c r="CS77" s="35">
        <v>0</v>
      </c>
      <c r="CT77" s="35">
        <v>0</v>
      </c>
      <c r="CU77" s="35">
        <v>6</v>
      </c>
      <c r="CV77" s="35">
        <v>5.9</v>
      </c>
      <c r="CW77" s="35"/>
      <c r="CX77" s="35"/>
      <c r="CY77" s="35"/>
      <c r="CZ77" s="36"/>
      <c r="DA77" s="35"/>
      <c r="DB77" s="35"/>
      <c r="DC77" s="35"/>
      <c r="DD77" s="35"/>
      <c r="DE77" s="35"/>
      <c r="DF77" s="35"/>
      <c r="DG77" s="35"/>
      <c r="DH77" s="35"/>
      <c r="DI77" s="36">
        <v>6</v>
      </c>
      <c r="DJ77" s="36">
        <v>15</v>
      </c>
      <c r="DK77" s="35">
        <v>6</v>
      </c>
      <c r="DL77" s="35">
        <v>0</v>
      </c>
      <c r="DM77" s="35">
        <v>0</v>
      </c>
      <c r="DN77" s="35">
        <v>9</v>
      </c>
      <c r="DO77" s="35">
        <v>0</v>
      </c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48"/>
      <c r="EA77" s="35"/>
      <c r="EB77" s="35"/>
      <c r="EC77" s="35"/>
      <c r="ED77" s="35"/>
      <c r="EE77" s="35"/>
      <c r="EF77" s="35"/>
      <c r="EG77" s="35"/>
      <c r="EH77" s="35"/>
      <c r="EI77" s="35"/>
      <c r="EJ77" s="35">
        <v>0.8</v>
      </c>
      <c r="EK77" s="35">
        <v>0</v>
      </c>
      <c r="EL77" s="35">
        <v>0.62</v>
      </c>
      <c r="EM77" s="35">
        <v>0.21</v>
      </c>
      <c r="EN77" s="35">
        <v>0</v>
      </c>
      <c r="EO77" s="35">
        <v>0</v>
      </c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6"/>
      <c r="FC77" s="35"/>
      <c r="FD77" s="35"/>
      <c r="FE77" s="35"/>
      <c r="FF77" s="35"/>
      <c r="FG77" s="35"/>
      <c r="FH77" s="35"/>
      <c r="FI77" s="35"/>
      <c r="FJ77" s="48"/>
      <c r="FK77" s="35">
        <v>1200</v>
      </c>
      <c r="FL77" s="35">
        <v>0</v>
      </c>
      <c r="FM77" s="35">
        <v>0</v>
      </c>
      <c r="FN77" s="35">
        <v>600</v>
      </c>
      <c r="FO77" s="35"/>
      <c r="FP77" s="35">
        <v>600</v>
      </c>
      <c r="FQ77" s="35"/>
      <c r="FR77" s="35"/>
      <c r="FS77" s="35">
        <f t="shared" si="31"/>
        <v>0</v>
      </c>
      <c r="FT77" s="36"/>
      <c r="FU77" s="36"/>
      <c r="FV77" s="36"/>
      <c r="FW77" s="36"/>
      <c r="FX77" s="36">
        <v>1</v>
      </c>
      <c r="FY77" s="36"/>
      <c r="FZ77" s="36"/>
      <c r="GA77" s="48"/>
      <c r="GB77" s="36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6"/>
      <c r="HD77" s="36"/>
      <c r="HE77" s="36"/>
      <c r="HF77" s="36"/>
      <c r="HG77" s="36"/>
      <c r="HH77" s="36"/>
      <c r="HI77" s="36"/>
      <c r="HJ77" s="36"/>
      <c r="HK77" s="36"/>
      <c r="HL77" s="35"/>
      <c r="HM77" s="35"/>
      <c r="HN77" s="35"/>
      <c r="HO77" s="35"/>
      <c r="HP77" s="35"/>
      <c r="HQ77" s="35"/>
      <c r="HR77" s="35">
        <v>0</v>
      </c>
      <c r="HS77" s="35">
        <v>0</v>
      </c>
      <c r="HT77" s="36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49"/>
      <c r="IF77" s="50">
        <f t="shared" si="32"/>
        <v>0</v>
      </c>
      <c r="IG77" s="50">
        <f t="shared" si="33"/>
        <v>0</v>
      </c>
      <c r="IH77" s="50">
        <f t="shared" si="34"/>
        <v>0</v>
      </c>
      <c r="II77" s="50">
        <f t="shared" si="35"/>
        <v>0</v>
      </c>
      <c r="IJ77" s="50">
        <f t="shared" si="36"/>
        <v>0</v>
      </c>
      <c r="IK77" s="50">
        <f t="shared" si="18"/>
        <v>0</v>
      </c>
      <c r="IL77" s="50">
        <f t="shared" si="37"/>
        <v>0</v>
      </c>
      <c r="IM77" s="50">
        <f t="shared" si="37"/>
        <v>0</v>
      </c>
      <c r="IN77" s="47">
        <f t="shared" si="38"/>
        <v>12.700000000000001</v>
      </c>
      <c r="IO77" s="47">
        <f t="shared" si="39"/>
        <v>0</v>
      </c>
      <c r="IP77" s="47">
        <f t="shared" si="40"/>
        <v>0.62</v>
      </c>
      <c r="IQ77" s="47">
        <f t="shared" si="41"/>
        <v>0.21</v>
      </c>
      <c r="IR77" s="47">
        <f t="shared" si="42"/>
        <v>6</v>
      </c>
      <c r="IS77" s="47">
        <f t="shared" si="43"/>
        <v>5.9</v>
      </c>
      <c r="IT77" s="47">
        <f t="shared" si="44"/>
        <v>0</v>
      </c>
      <c r="IU77" s="95">
        <f t="shared" si="45"/>
        <v>0</v>
      </c>
      <c r="IV77" s="36">
        <v>10.199999999999999</v>
      </c>
      <c r="IW77" s="52">
        <v>1</v>
      </c>
      <c r="IX77" s="48"/>
    </row>
    <row r="78" spans="1:258" s="5" customFormat="1" ht="15.95" customHeight="1">
      <c r="A78" s="6">
        <v>72</v>
      </c>
      <c r="B78" s="46" t="s">
        <v>149</v>
      </c>
      <c r="C78" s="46" t="s">
        <v>137</v>
      </c>
      <c r="D78" s="46" t="s">
        <v>144</v>
      </c>
      <c r="E78" s="36">
        <v>62.7</v>
      </c>
      <c r="F78" s="47"/>
      <c r="G78" s="47">
        <v>400</v>
      </c>
      <c r="H78" s="47"/>
      <c r="I78" s="47">
        <v>400</v>
      </c>
      <c r="J78" s="47">
        <v>0</v>
      </c>
      <c r="K78" s="47"/>
      <c r="L78" s="47"/>
      <c r="M78" s="47"/>
      <c r="N78" s="47"/>
      <c r="O78" s="36"/>
      <c r="P78" s="36">
        <v>400</v>
      </c>
      <c r="Q78" s="36">
        <v>0</v>
      </c>
      <c r="R78" s="50"/>
      <c r="S78" s="50"/>
      <c r="T78" s="50"/>
      <c r="U78" s="50"/>
      <c r="V78" s="34">
        <v>0</v>
      </c>
      <c r="W78" s="34">
        <v>0</v>
      </c>
      <c r="X78" s="34">
        <v>0</v>
      </c>
      <c r="Y78" s="34">
        <v>0</v>
      </c>
      <c r="Z78" s="34"/>
      <c r="AA78" s="34"/>
      <c r="AB78" s="34"/>
      <c r="AC78" s="34"/>
      <c r="AD78" s="34">
        <v>0</v>
      </c>
      <c r="AE78" s="34">
        <v>0</v>
      </c>
      <c r="AF78" s="34">
        <v>0</v>
      </c>
      <c r="AG78" s="34"/>
      <c r="AH78" s="34"/>
      <c r="AI78" s="47"/>
      <c r="AJ78" s="47"/>
      <c r="AK78" s="47">
        <v>398</v>
      </c>
      <c r="AL78" s="47">
        <v>0</v>
      </c>
      <c r="AM78" s="47">
        <v>91</v>
      </c>
      <c r="AN78" s="92">
        <v>53</v>
      </c>
      <c r="AO78" s="47">
        <v>179</v>
      </c>
      <c r="AP78" s="47">
        <v>75</v>
      </c>
      <c r="AQ78" s="96"/>
      <c r="AR78" s="96"/>
      <c r="AS78" s="36">
        <v>0</v>
      </c>
      <c r="AT78" s="36">
        <v>0</v>
      </c>
      <c r="AU78" s="93">
        <v>91</v>
      </c>
      <c r="AV78" s="50">
        <v>179</v>
      </c>
      <c r="AW78" s="50">
        <v>128</v>
      </c>
      <c r="AX78" s="92"/>
      <c r="AY78" s="92"/>
      <c r="AZ78" s="47">
        <v>150</v>
      </c>
      <c r="BA78" s="47"/>
      <c r="BB78" s="92">
        <v>150</v>
      </c>
      <c r="BC78" s="47">
        <v>0</v>
      </c>
      <c r="BD78" s="47">
        <v>0</v>
      </c>
      <c r="BE78" s="47">
        <v>0</v>
      </c>
      <c r="BF78" s="96"/>
      <c r="BG78" s="96"/>
      <c r="BH78" s="47"/>
      <c r="BI78" s="93">
        <v>150</v>
      </c>
      <c r="BJ78" s="93">
        <v>0</v>
      </c>
      <c r="BK78" s="36">
        <v>0</v>
      </c>
      <c r="BL78" s="36">
        <v>0</v>
      </c>
      <c r="BM78" s="93"/>
      <c r="BN78" s="93"/>
      <c r="BO78" s="36">
        <v>1</v>
      </c>
      <c r="BP78" s="36">
        <v>0.5</v>
      </c>
      <c r="BQ78" s="36">
        <v>0</v>
      </c>
      <c r="BR78" s="36">
        <v>0</v>
      </c>
      <c r="BS78" s="36">
        <v>0.25</v>
      </c>
      <c r="BT78" s="36">
        <v>0.25</v>
      </c>
      <c r="BU78" s="36"/>
      <c r="BV78" s="36"/>
      <c r="BW78" s="36"/>
      <c r="BX78" s="36">
        <v>0.02</v>
      </c>
      <c r="BY78" s="35">
        <v>1.4999999999999999E-2</v>
      </c>
      <c r="BZ78" s="35">
        <v>0</v>
      </c>
      <c r="CA78" s="35">
        <v>0</v>
      </c>
      <c r="CB78" s="35">
        <v>0</v>
      </c>
      <c r="CC78" s="35">
        <v>0</v>
      </c>
      <c r="CD78" s="35"/>
      <c r="CE78" s="35"/>
      <c r="CF78" s="35"/>
      <c r="CG78" s="36"/>
      <c r="CH78" s="35"/>
      <c r="CI78" s="35"/>
      <c r="CJ78" s="35"/>
      <c r="CK78" s="35"/>
      <c r="CL78" s="35"/>
      <c r="CM78" s="51"/>
      <c r="CN78" s="51"/>
      <c r="CO78" s="51"/>
      <c r="CP78" s="51"/>
      <c r="CQ78" s="35">
        <v>18.2</v>
      </c>
      <c r="CR78" s="35">
        <v>0</v>
      </c>
      <c r="CS78" s="35">
        <v>0</v>
      </c>
      <c r="CT78" s="35">
        <v>7.28</v>
      </c>
      <c r="CU78" s="35">
        <v>2</v>
      </c>
      <c r="CV78" s="35">
        <v>8.92</v>
      </c>
      <c r="CW78" s="35"/>
      <c r="CX78" s="35"/>
      <c r="CY78" s="35"/>
      <c r="CZ78" s="36"/>
      <c r="DA78" s="35"/>
      <c r="DB78" s="35"/>
      <c r="DC78" s="35"/>
      <c r="DD78" s="35"/>
      <c r="DE78" s="35"/>
      <c r="DF78" s="35"/>
      <c r="DG78" s="35"/>
      <c r="DH78" s="35"/>
      <c r="DI78" s="36">
        <v>3</v>
      </c>
      <c r="DJ78" s="36">
        <v>7</v>
      </c>
      <c r="DK78" s="35">
        <v>4</v>
      </c>
      <c r="DL78" s="35">
        <v>0</v>
      </c>
      <c r="DM78" s="35">
        <v>0</v>
      </c>
      <c r="DN78" s="35">
        <v>1</v>
      </c>
      <c r="DO78" s="35">
        <v>2</v>
      </c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48"/>
      <c r="EA78" s="35"/>
      <c r="EB78" s="35"/>
      <c r="EC78" s="35"/>
      <c r="ED78" s="35"/>
      <c r="EE78" s="35"/>
      <c r="EF78" s="35"/>
      <c r="EG78" s="35"/>
      <c r="EH78" s="35"/>
      <c r="EI78" s="35"/>
      <c r="EJ78" s="35">
        <v>1.8</v>
      </c>
      <c r="EK78" s="35">
        <v>0</v>
      </c>
      <c r="EL78" s="35">
        <v>1.17</v>
      </c>
      <c r="EM78" s="35">
        <v>0.24</v>
      </c>
      <c r="EN78" s="35">
        <v>0.28000000000000003</v>
      </c>
      <c r="EO78" s="35">
        <v>0.11</v>
      </c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6">
        <v>1</v>
      </c>
      <c r="FC78" s="35">
        <v>1</v>
      </c>
      <c r="FD78" s="35">
        <v>0</v>
      </c>
      <c r="FE78" s="35">
        <v>0</v>
      </c>
      <c r="FF78" s="35"/>
      <c r="FG78" s="35">
        <v>0</v>
      </c>
      <c r="FH78" s="35"/>
      <c r="FI78" s="35"/>
      <c r="FJ78" s="48"/>
      <c r="FK78" s="35">
        <v>700</v>
      </c>
      <c r="FL78" s="35">
        <v>100</v>
      </c>
      <c r="FM78" s="35">
        <v>0</v>
      </c>
      <c r="FN78" s="35">
        <v>0</v>
      </c>
      <c r="FO78" s="35">
        <v>300</v>
      </c>
      <c r="FP78" s="35">
        <v>300</v>
      </c>
      <c r="FQ78" s="35"/>
      <c r="FR78" s="35"/>
      <c r="FS78" s="35">
        <f t="shared" si="31"/>
        <v>0</v>
      </c>
      <c r="FT78" s="36"/>
      <c r="FU78" s="36"/>
      <c r="FV78" s="36">
        <v>4</v>
      </c>
      <c r="FW78" s="36">
        <v>1</v>
      </c>
      <c r="FX78" s="36">
        <v>0</v>
      </c>
      <c r="FY78" s="36"/>
      <c r="FZ78" s="36"/>
      <c r="GA78" s="48"/>
      <c r="GB78" s="36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6"/>
      <c r="HD78" s="36"/>
      <c r="HE78" s="36"/>
      <c r="HF78" s="36"/>
      <c r="HG78" s="36"/>
      <c r="HH78" s="36"/>
      <c r="HI78" s="36"/>
      <c r="HJ78" s="36"/>
      <c r="HK78" s="36"/>
      <c r="HL78" s="36">
        <v>1</v>
      </c>
      <c r="HM78" s="36">
        <v>0</v>
      </c>
      <c r="HN78" s="36">
        <v>0</v>
      </c>
      <c r="HO78" s="36">
        <v>0</v>
      </c>
      <c r="HP78" s="36">
        <v>1</v>
      </c>
      <c r="HQ78" s="36">
        <v>0</v>
      </c>
      <c r="HR78" s="36">
        <v>0</v>
      </c>
      <c r="HS78" s="36">
        <v>0</v>
      </c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49"/>
      <c r="IF78" s="50">
        <f t="shared" si="32"/>
        <v>0.02</v>
      </c>
      <c r="IG78" s="50">
        <f t="shared" si="33"/>
        <v>1.4999999999999999E-2</v>
      </c>
      <c r="IH78" s="50">
        <f t="shared" si="34"/>
        <v>0</v>
      </c>
      <c r="II78" s="50">
        <f t="shared" si="35"/>
        <v>0</v>
      </c>
      <c r="IJ78" s="50">
        <f t="shared" si="36"/>
        <v>0</v>
      </c>
      <c r="IK78" s="50">
        <f t="shared" si="18"/>
        <v>0</v>
      </c>
      <c r="IL78" s="50">
        <f t="shared" si="37"/>
        <v>0</v>
      </c>
      <c r="IM78" s="50">
        <f t="shared" si="37"/>
        <v>0</v>
      </c>
      <c r="IN78" s="47">
        <f t="shared" si="38"/>
        <v>20</v>
      </c>
      <c r="IO78" s="47">
        <f t="shared" si="39"/>
        <v>0</v>
      </c>
      <c r="IP78" s="47">
        <f t="shared" si="40"/>
        <v>1.17</v>
      </c>
      <c r="IQ78" s="47">
        <f t="shared" si="41"/>
        <v>7.5200000000000005</v>
      </c>
      <c r="IR78" s="47">
        <f t="shared" si="42"/>
        <v>2.2800000000000002</v>
      </c>
      <c r="IS78" s="47">
        <f t="shared" si="43"/>
        <v>9.0299999999999994</v>
      </c>
      <c r="IT78" s="47">
        <f t="shared" si="44"/>
        <v>0</v>
      </c>
      <c r="IU78" s="95">
        <f t="shared" si="45"/>
        <v>0</v>
      </c>
      <c r="IV78" s="36">
        <v>6.6</v>
      </c>
      <c r="IW78" s="52">
        <v>1</v>
      </c>
      <c r="IX78" s="48"/>
    </row>
    <row r="79" spans="1:258" s="5" customFormat="1" ht="15.95" customHeight="1">
      <c r="A79" s="6">
        <v>73</v>
      </c>
      <c r="B79" s="46" t="s">
        <v>150</v>
      </c>
      <c r="C79" s="46" t="s">
        <v>137</v>
      </c>
      <c r="D79" s="46" t="s">
        <v>144</v>
      </c>
      <c r="E79" s="36">
        <v>44.4</v>
      </c>
      <c r="F79" s="47"/>
      <c r="G79" s="47">
        <v>1400</v>
      </c>
      <c r="H79" s="47"/>
      <c r="I79" s="47">
        <v>1400</v>
      </c>
      <c r="J79" s="47">
        <v>0</v>
      </c>
      <c r="K79" s="47"/>
      <c r="L79" s="47"/>
      <c r="M79" s="47"/>
      <c r="N79" s="47"/>
      <c r="O79" s="36"/>
      <c r="P79" s="36">
        <v>1400</v>
      </c>
      <c r="Q79" s="36">
        <v>0</v>
      </c>
      <c r="R79" s="50"/>
      <c r="S79" s="50"/>
      <c r="T79" s="50"/>
      <c r="U79" s="50"/>
      <c r="V79" s="34">
        <v>0</v>
      </c>
      <c r="W79" s="34">
        <v>0</v>
      </c>
      <c r="X79" s="34">
        <v>0</v>
      </c>
      <c r="Y79" s="34">
        <v>0</v>
      </c>
      <c r="Z79" s="34"/>
      <c r="AA79" s="34"/>
      <c r="AB79" s="34"/>
      <c r="AC79" s="34"/>
      <c r="AD79" s="34">
        <v>0</v>
      </c>
      <c r="AE79" s="34">
        <v>0</v>
      </c>
      <c r="AF79" s="34">
        <v>0</v>
      </c>
      <c r="AG79" s="34"/>
      <c r="AH79" s="34"/>
      <c r="AI79" s="47"/>
      <c r="AJ79" s="47"/>
      <c r="AK79" s="47">
        <v>317</v>
      </c>
      <c r="AL79" s="47">
        <v>0</v>
      </c>
      <c r="AM79" s="47">
        <v>54</v>
      </c>
      <c r="AN79" s="92">
        <v>82</v>
      </c>
      <c r="AO79" s="47">
        <v>112</v>
      </c>
      <c r="AP79" s="47">
        <v>69</v>
      </c>
      <c r="AQ79" s="96"/>
      <c r="AR79" s="96"/>
      <c r="AS79" s="36">
        <v>0</v>
      </c>
      <c r="AT79" s="36">
        <v>0</v>
      </c>
      <c r="AU79" s="93">
        <v>15</v>
      </c>
      <c r="AV79" s="50"/>
      <c r="AW79" s="50">
        <v>302</v>
      </c>
      <c r="AX79" s="92"/>
      <c r="AY79" s="92"/>
      <c r="AZ79" s="47">
        <v>50</v>
      </c>
      <c r="BA79" s="47"/>
      <c r="BB79" s="92">
        <v>50</v>
      </c>
      <c r="BC79" s="47">
        <v>0</v>
      </c>
      <c r="BD79" s="47">
        <v>0</v>
      </c>
      <c r="BE79" s="47">
        <v>0</v>
      </c>
      <c r="BF79" s="96"/>
      <c r="BG79" s="96"/>
      <c r="BH79" s="47"/>
      <c r="BI79" s="93">
        <v>50</v>
      </c>
      <c r="BJ79" s="93">
        <v>0</v>
      </c>
      <c r="BK79" s="36">
        <v>0</v>
      </c>
      <c r="BL79" s="36">
        <v>0</v>
      </c>
      <c r="BM79" s="93"/>
      <c r="BN79" s="93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5"/>
      <c r="BZ79" s="35"/>
      <c r="CA79" s="35"/>
      <c r="CB79" s="35"/>
      <c r="CC79" s="35"/>
      <c r="CD79" s="35"/>
      <c r="CE79" s="35"/>
      <c r="CF79" s="35"/>
      <c r="CG79" s="36"/>
      <c r="CH79" s="35"/>
      <c r="CI79" s="35"/>
      <c r="CJ79" s="35"/>
      <c r="CK79" s="35"/>
      <c r="CL79" s="35"/>
      <c r="CM79" s="51"/>
      <c r="CN79" s="51"/>
      <c r="CO79" s="51"/>
      <c r="CP79" s="51"/>
      <c r="CQ79" s="35">
        <v>6</v>
      </c>
      <c r="CR79" s="35">
        <v>7</v>
      </c>
      <c r="CS79" s="35">
        <v>0</v>
      </c>
      <c r="CT79" s="35">
        <v>0</v>
      </c>
      <c r="CU79" s="35">
        <v>0</v>
      </c>
      <c r="CV79" s="35">
        <v>0</v>
      </c>
      <c r="CW79" s="35"/>
      <c r="CX79" s="35"/>
      <c r="CY79" s="35"/>
      <c r="CZ79" s="36"/>
      <c r="DA79" s="35"/>
      <c r="DB79" s="35"/>
      <c r="DC79" s="35"/>
      <c r="DD79" s="35"/>
      <c r="DE79" s="35"/>
      <c r="DF79" s="35"/>
      <c r="DG79" s="35"/>
      <c r="DH79" s="35"/>
      <c r="DI79" s="36">
        <v>3</v>
      </c>
      <c r="DJ79" s="36">
        <v>7</v>
      </c>
      <c r="DK79" s="35">
        <v>7</v>
      </c>
      <c r="DL79" s="35">
        <v>0</v>
      </c>
      <c r="DM79" s="35">
        <v>5</v>
      </c>
      <c r="DN79" s="35">
        <v>0</v>
      </c>
      <c r="DO79" s="35">
        <v>0</v>
      </c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48"/>
      <c r="EA79" s="35"/>
      <c r="EB79" s="35"/>
      <c r="EC79" s="35"/>
      <c r="ED79" s="35"/>
      <c r="EE79" s="35"/>
      <c r="EF79" s="35"/>
      <c r="EG79" s="35"/>
      <c r="EH79" s="35"/>
      <c r="EI79" s="35"/>
      <c r="EJ79" s="35">
        <v>1</v>
      </c>
      <c r="EK79" s="35">
        <v>0</v>
      </c>
      <c r="EL79" s="35">
        <v>0.86</v>
      </c>
      <c r="EM79" s="35">
        <v>1.69</v>
      </c>
      <c r="EN79" s="35">
        <v>0</v>
      </c>
      <c r="EO79" s="35">
        <v>0</v>
      </c>
      <c r="EP79" s="35"/>
      <c r="EQ79" s="35"/>
      <c r="ER79" s="35"/>
      <c r="ES79" s="35">
        <f>(750*10)/10000</f>
        <v>0.75</v>
      </c>
      <c r="ET79" s="35">
        <v>0</v>
      </c>
      <c r="EU79" s="35">
        <v>0</v>
      </c>
      <c r="EV79" s="35">
        <v>0</v>
      </c>
      <c r="EW79" s="35">
        <v>0</v>
      </c>
      <c r="EX79" s="35">
        <v>0.75</v>
      </c>
      <c r="EY79" s="35"/>
      <c r="EZ79" s="35"/>
      <c r="FA79" s="35"/>
      <c r="FB79" s="36"/>
      <c r="FC79" s="35"/>
      <c r="FD79" s="35"/>
      <c r="FE79" s="35"/>
      <c r="FF79" s="35"/>
      <c r="FG79" s="35"/>
      <c r="FH79" s="35"/>
      <c r="FI79" s="35"/>
      <c r="FJ79" s="48"/>
      <c r="FK79" s="35">
        <v>1100</v>
      </c>
      <c r="FL79" s="35">
        <v>0</v>
      </c>
      <c r="FM79" s="35">
        <v>0</v>
      </c>
      <c r="FN79" s="35">
        <v>700</v>
      </c>
      <c r="FO79" s="35"/>
      <c r="FP79" s="35">
        <v>400</v>
      </c>
      <c r="FQ79" s="35"/>
      <c r="FR79" s="35"/>
      <c r="FS79" s="35">
        <f t="shared" si="31"/>
        <v>0</v>
      </c>
      <c r="FT79" s="36"/>
      <c r="FU79" s="36"/>
      <c r="FV79" s="36"/>
      <c r="FW79" s="36"/>
      <c r="FX79" s="36"/>
      <c r="FY79" s="36"/>
      <c r="FZ79" s="36"/>
      <c r="GA79" s="48"/>
      <c r="GB79" s="36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6"/>
      <c r="HD79" s="36"/>
      <c r="HE79" s="36"/>
      <c r="HF79" s="36"/>
      <c r="HG79" s="36"/>
      <c r="HH79" s="36"/>
      <c r="HI79" s="36"/>
      <c r="HJ79" s="36"/>
      <c r="HK79" s="36"/>
      <c r="HL79" s="35">
        <v>1</v>
      </c>
      <c r="HM79" s="35">
        <v>0</v>
      </c>
      <c r="HN79" s="35">
        <v>0</v>
      </c>
      <c r="HO79" s="35">
        <v>0.5</v>
      </c>
      <c r="HP79" s="35">
        <v>0</v>
      </c>
      <c r="HQ79" s="35">
        <v>0</v>
      </c>
      <c r="HR79" s="35">
        <v>0.5</v>
      </c>
      <c r="HS79" s="35">
        <v>0</v>
      </c>
      <c r="HT79" s="36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49"/>
      <c r="IF79" s="50">
        <f t="shared" si="32"/>
        <v>0</v>
      </c>
      <c r="IG79" s="50">
        <f t="shared" si="33"/>
        <v>0</v>
      </c>
      <c r="IH79" s="50">
        <f t="shared" si="34"/>
        <v>0</v>
      </c>
      <c r="II79" s="50">
        <f t="shared" si="35"/>
        <v>0</v>
      </c>
      <c r="IJ79" s="50">
        <f t="shared" si="36"/>
        <v>0</v>
      </c>
      <c r="IK79" s="50">
        <f t="shared" si="18"/>
        <v>0</v>
      </c>
      <c r="IL79" s="50">
        <f t="shared" si="37"/>
        <v>0</v>
      </c>
      <c r="IM79" s="50">
        <f t="shared" si="37"/>
        <v>0</v>
      </c>
      <c r="IN79" s="47">
        <f t="shared" si="38"/>
        <v>7.75</v>
      </c>
      <c r="IO79" s="47">
        <f t="shared" si="39"/>
        <v>7</v>
      </c>
      <c r="IP79" s="47">
        <f t="shared" si="40"/>
        <v>0.86</v>
      </c>
      <c r="IQ79" s="47">
        <f t="shared" si="41"/>
        <v>1.69</v>
      </c>
      <c r="IR79" s="47">
        <f t="shared" si="42"/>
        <v>0</v>
      </c>
      <c r="IS79" s="47">
        <f t="shared" si="43"/>
        <v>0.75</v>
      </c>
      <c r="IT79" s="47">
        <f t="shared" si="44"/>
        <v>0</v>
      </c>
      <c r="IU79" s="95">
        <f t="shared" si="45"/>
        <v>0</v>
      </c>
      <c r="IV79" s="36">
        <v>1.6</v>
      </c>
      <c r="IW79" s="52">
        <v>1</v>
      </c>
      <c r="IX79" s="48"/>
    </row>
    <row r="80" spans="1:258" s="5" customFormat="1" ht="15.95" customHeight="1">
      <c r="A80" s="12">
        <v>74</v>
      </c>
      <c r="B80" s="46" t="s">
        <v>151</v>
      </c>
      <c r="C80" s="46" t="s">
        <v>137</v>
      </c>
      <c r="D80" s="46" t="s">
        <v>144</v>
      </c>
      <c r="E80" s="36">
        <v>58.8</v>
      </c>
      <c r="F80" s="47"/>
      <c r="G80" s="47">
        <v>0</v>
      </c>
      <c r="H80" s="47"/>
      <c r="I80" s="47">
        <v>0</v>
      </c>
      <c r="J80" s="47">
        <v>0</v>
      </c>
      <c r="K80" s="47"/>
      <c r="L80" s="47"/>
      <c r="M80" s="47"/>
      <c r="N80" s="47"/>
      <c r="O80" s="36"/>
      <c r="P80" s="36">
        <v>0</v>
      </c>
      <c r="Q80" s="36">
        <v>0</v>
      </c>
      <c r="R80" s="50"/>
      <c r="S80" s="50"/>
      <c r="T80" s="50"/>
      <c r="U80" s="50"/>
      <c r="V80" s="34">
        <v>0</v>
      </c>
      <c r="W80" s="34">
        <v>0</v>
      </c>
      <c r="X80" s="34">
        <v>0</v>
      </c>
      <c r="Y80" s="34">
        <v>0</v>
      </c>
      <c r="Z80" s="34"/>
      <c r="AA80" s="34"/>
      <c r="AB80" s="34"/>
      <c r="AC80" s="34"/>
      <c r="AD80" s="34">
        <v>0</v>
      </c>
      <c r="AE80" s="34">
        <v>0</v>
      </c>
      <c r="AF80" s="34">
        <v>0</v>
      </c>
      <c r="AG80" s="34"/>
      <c r="AH80" s="34"/>
      <c r="AI80" s="47"/>
      <c r="AJ80" s="47"/>
      <c r="AK80" s="47">
        <v>210</v>
      </c>
      <c r="AL80" s="47">
        <v>0</v>
      </c>
      <c r="AM80" s="47">
        <v>30</v>
      </c>
      <c r="AN80" s="92">
        <v>120</v>
      </c>
      <c r="AO80" s="47">
        <v>0</v>
      </c>
      <c r="AP80" s="47">
        <v>60</v>
      </c>
      <c r="AQ80" s="96"/>
      <c r="AR80" s="96"/>
      <c r="AS80" s="36">
        <v>0</v>
      </c>
      <c r="AT80" s="36">
        <v>0</v>
      </c>
      <c r="AU80" s="93">
        <v>55</v>
      </c>
      <c r="AV80" s="50"/>
      <c r="AW80" s="50">
        <v>155</v>
      </c>
      <c r="AX80" s="92"/>
      <c r="AY80" s="92"/>
      <c r="AZ80" s="47">
        <v>50</v>
      </c>
      <c r="BA80" s="47">
        <v>0</v>
      </c>
      <c r="BB80" s="92">
        <v>50</v>
      </c>
      <c r="BC80" s="47">
        <v>0</v>
      </c>
      <c r="BD80" s="47">
        <v>0</v>
      </c>
      <c r="BE80" s="47">
        <v>0</v>
      </c>
      <c r="BF80" s="96"/>
      <c r="BG80" s="96"/>
      <c r="BH80" s="47"/>
      <c r="BI80" s="93">
        <v>50</v>
      </c>
      <c r="BJ80" s="93">
        <v>0</v>
      </c>
      <c r="BK80" s="36">
        <v>0</v>
      </c>
      <c r="BL80" s="36">
        <v>0</v>
      </c>
      <c r="BM80" s="93"/>
      <c r="BN80" s="93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5"/>
      <c r="BZ80" s="35"/>
      <c r="CA80" s="35"/>
      <c r="CB80" s="35"/>
      <c r="CC80" s="35"/>
      <c r="CD80" s="35"/>
      <c r="CE80" s="35"/>
      <c r="CF80" s="35"/>
      <c r="CG80" s="36"/>
      <c r="CH80" s="35"/>
      <c r="CI80" s="35"/>
      <c r="CJ80" s="35"/>
      <c r="CK80" s="35"/>
      <c r="CL80" s="35"/>
      <c r="CM80" s="51"/>
      <c r="CN80" s="51"/>
      <c r="CO80" s="51"/>
      <c r="CP80" s="51"/>
      <c r="CQ80" s="35">
        <v>21</v>
      </c>
      <c r="CR80" s="35">
        <v>0</v>
      </c>
      <c r="CS80" s="35">
        <v>0</v>
      </c>
      <c r="CT80" s="35">
        <v>0</v>
      </c>
      <c r="CU80" s="35">
        <v>21</v>
      </c>
      <c r="CV80" s="35">
        <v>0</v>
      </c>
      <c r="CW80" s="35"/>
      <c r="CX80" s="35"/>
      <c r="CY80" s="35"/>
      <c r="CZ80" s="36"/>
      <c r="DA80" s="35"/>
      <c r="DB80" s="35"/>
      <c r="DC80" s="35"/>
      <c r="DD80" s="35"/>
      <c r="DE80" s="35"/>
      <c r="DF80" s="35"/>
      <c r="DG80" s="35"/>
      <c r="DH80" s="35"/>
      <c r="DI80" s="36">
        <v>5</v>
      </c>
      <c r="DJ80" s="36">
        <v>10</v>
      </c>
      <c r="DK80" s="35">
        <v>5</v>
      </c>
      <c r="DL80" s="35">
        <v>0</v>
      </c>
      <c r="DM80" s="35">
        <v>0</v>
      </c>
      <c r="DN80" s="35">
        <v>5</v>
      </c>
      <c r="DO80" s="35">
        <v>0</v>
      </c>
      <c r="DP80" s="35"/>
      <c r="DQ80" s="35"/>
      <c r="DR80" s="35"/>
      <c r="DS80" s="36"/>
      <c r="DT80" s="36"/>
      <c r="DU80" s="36"/>
      <c r="DV80" s="36"/>
      <c r="DW80" s="36"/>
      <c r="DX80" s="36"/>
      <c r="DY80" s="36"/>
      <c r="DZ80" s="48"/>
      <c r="EA80" s="35"/>
      <c r="EB80" s="35"/>
      <c r="EC80" s="35"/>
      <c r="ED80" s="35"/>
      <c r="EE80" s="35"/>
      <c r="EF80" s="35"/>
      <c r="EG80" s="35"/>
      <c r="EH80" s="35"/>
      <c r="EI80" s="35"/>
      <c r="EJ80" s="35">
        <v>0.8</v>
      </c>
      <c r="EK80" s="35">
        <v>0</v>
      </c>
      <c r="EL80" s="35">
        <v>0</v>
      </c>
      <c r="EM80" s="35">
        <v>0.4</v>
      </c>
      <c r="EN80" s="35">
        <v>0</v>
      </c>
      <c r="EO80" s="35">
        <v>0.4</v>
      </c>
      <c r="EP80" s="35"/>
      <c r="EQ80" s="35"/>
      <c r="ER80" s="35"/>
      <c r="ES80" s="35">
        <f>(1000*10)/10000</f>
        <v>1</v>
      </c>
      <c r="ET80" s="35">
        <v>0</v>
      </c>
      <c r="EU80" s="35">
        <v>0</v>
      </c>
      <c r="EV80" s="35">
        <v>0</v>
      </c>
      <c r="EW80" s="35">
        <v>0</v>
      </c>
      <c r="EX80" s="35">
        <v>1</v>
      </c>
      <c r="EY80" s="35"/>
      <c r="EZ80" s="35"/>
      <c r="FA80" s="35"/>
      <c r="FB80" s="36"/>
      <c r="FC80" s="35"/>
      <c r="FD80" s="35"/>
      <c r="FE80" s="35"/>
      <c r="FF80" s="35"/>
      <c r="FG80" s="35"/>
      <c r="FH80" s="35"/>
      <c r="FI80" s="35"/>
      <c r="FJ80" s="48"/>
      <c r="FK80" s="35"/>
      <c r="FL80" s="35"/>
      <c r="FM80" s="35"/>
      <c r="FN80" s="35"/>
      <c r="FO80" s="35"/>
      <c r="FP80" s="35"/>
      <c r="FQ80" s="35"/>
      <c r="FR80" s="35"/>
      <c r="FS80" s="35">
        <f t="shared" si="31"/>
        <v>0</v>
      </c>
      <c r="FT80" s="36"/>
      <c r="FU80" s="36"/>
      <c r="FV80" s="36"/>
      <c r="FW80" s="36"/>
      <c r="FX80" s="36"/>
      <c r="FY80" s="36"/>
      <c r="FZ80" s="36"/>
      <c r="GA80" s="48"/>
      <c r="GB80" s="36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6"/>
      <c r="HD80" s="36"/>
      <c r="HE80" s="36"/>
      <c r="HF80" s="36"/>
      <c r="HG80" s="36"/>
      <c r="HH80" s="36"/>
      <c r="HI80" s="36"/>
      <c r="HJ80" s="36"/>
      <c r="HK80" s="36"/>
      <c r="HL80" s="35">
        <v>1</v>
      </c>
      <c r="HM80" s="35">
        <v>0</v>
      </c>
      <c r="HN80" s="35">
        <v>0</v>
      </c>
      <c r="HO80" s="35">
        <v>0</v>
      </c>
      <c r="HP80" s="35">
        <v>0</v>
      </c>
      <c r="HQ80" s="35">
        <v>0</v>
      </c>
      <c r="HR80" s="35">
        <v>0</v>
      </c>
      <c r="HS80" s="35">
        <v>0</v>
      </c>
      <c r="HT80" s="36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49"/>
      <c r="IF80" s="50">
        <f t="shared" si="32"/>
        <v>0</v>
      </c>
      <c r="IG80" s="50">
        <f t="shared" si="33"/>
        <v>0</v>
      </c>
      <c r="IH80" s="50">
        <f t="shared" si="34"/>
        <v>0</v>
      </c>
      <c r="II80" s="50">
        <f t="shared" si="35"/>
        <v>0</v>
      </c>
      <c r="IJ80" s="50">
        <f t="shared" si="36"/>
        <v>0</v>
      </c>
      <c r="IK80" s="50">
        <f t="shared" si="18"/>
        <v>0</v>
      </c>
      <c r="IL80" s="50">
        <f t="shared" si="37"/>
        <v>0</v>
      </c>
      <c r="IM80" s="50">
        <f t="shared" si="37"/>
        <v>0</v>
      </c>
      <c r="IN80" s="47">
        <f t="shared" si="38"/>
        <v>22.8</v>
      </c>
      <c r="IO80" s="47">
        <f t="shared" si="39"/>
        <v>0</v>
      </c>
      <c r="IP80" s="47">
        <f t="shared" si="40"/>
        <v>0</v>
      </c>
      <c r="IQ80" s="47">
        <f t="shared" si="41"/>
        <v>0.4</v>
      </c>
      <c r="IR80" s="47">
        <f t="shared" si="42"/>
        <v>21</v>
      </c>
      <c r="IS80" s="47">
        <f t="shared" si="43"/>
        <v>1.4</v>
      </c>
      <c r="IT80" s="47">
        <f t="shared" si="44"/>
        <v>0</v>
      </c>
      <c r="IU80" s="95">
        <f t="shared" si="45"/>
        <v>0</v>
      </c>
      <c r="IV80" s="36">
        <v>3.1</v>
      </c>
      <c r="IW80" s="52">
        <v>1</v>
      </c>
      <c r="IX80" s="48"/>
    </row>
    <row r="81" spans="1:258" s="5" customFormat="1" ht="15.95" customHeight="1">
      <c r="A81" s="6">
        <v>75</v>
      </c>
      <c r="B81" s="46" t="s">
        <v>152</v>
      </c>
      <c r="C81" s="46" t="s">
        <v>137</v>
      </c>
      <c r="D81" s="46" t="s">
        <v>144</v>
      </c>
      <c r="E81" s="36">
        <v>17.7</v>
      </c>
      <c r="F81" s="47"/>
      <c r="G81" s="47">
        <v>300</v>
      </c>
      <c r="H81" s="47"/>
      <c r="I81" s="47">
        <v>300</v>
      </c>
      <c r="J81" s="47">
        <v>0</v>
      </c>
      <c r="K81" s="47"/>
      <c r="L81" s="47"/>
      <c r="M81" s="47"/>
      <c r="N81" s="47"/>
      <c r="O81" s="36"/>
      <c r="P81" s="36">
        <v>300</v>
      </c>
      <c r="Q81" s="36">
        <v>0</v>
      </c>
      <c r="R81" s="50"/>
      <c r="S81" s="50"/>
      <c r="T81" s="50"/>
      <c r="U81" s="50"/>
      <c r="V81" s="34">
        <v>0</v>
      </c>
      <c r="W81" s="34">
        <v>0</v>
      </c>
      <c r="X81" s="34">
        <v>0</v>
      </c>
      <c r="Y81" s="34">
        <v>0</v>
      </c>
      <c r="Z81" s="34"/>
      <c r="AA81" s="34"/>
      <c r="AB81" s="34"/>
      <c r="AC81" s="34"/>
      <c r="AD81" s="34">
        <v>0</v>
      </c>
      <c r="AE81" s="34">
        <v>0</v>
      </c>
      <c r="AF81" s="34">
        <v>0</v>
      </c>
      <c r="AG81" s="34"/>
      <c r="AH81" s="34"/>
      <c r="AI81" s="47"/>
      <c r="AJ81" s="47"/>
      <c r="AK81" s="47">
        <v>201</v>
      </c>
      <c r="AL81" s="47">
        <v>0</v>
      </c>
      <c r="AM81" s="47">
        <v>28</v>
      </c>
      <c r="AN81" s="92">
        <v>7</v>
      </c>
      <c r="AO81" s="47">
        <v>26</v>
      </c>
      <c r="AP81" s="47">
        <v>140</v>
      </c>
      <c r="AQ81" s="96"/>
      <c r="AR81" s="96"/>
      <c r="AS81" s="36">
        <v>0</v>
      </c>
      <c r="AT81" s="36">
        <v>0</v>
      </c>
      <c r="AU81" s="93">
        <v>20</v>
      </c>
      <c r="AV81" s="50"/>
      <c r="AW81" s="50">
        <v>181</v>
      </c>
      <c r="AX81" s="92"/>
      <c r="AY81" s="92"/>
      <c r="AZ81" s="47">
        <v>70</v>
      </c>
      <c r="BA81" s="47"/>
      <c r="BB81" s="92">
        <v>70</v>
      </c>
      <c r="BC81" s="47">
        <v>0</v>
      </c>
      <c r="BD81" s="47">
        <v>0</v>
      </c>
      <c r="BE81" s="47">
        <v>0</v>
      </c>
      <c r="BF81" s="96"/>
      <c r="BG81" s="96"/>
      <c r="BH81" s="47"/>
      <c r="BI81" s="93">
        <v>70</v>
      </c>
      <c r="BJ81" s="93">
        <v>0</v>
      </c>
      <c r="BK81" s="36">
        <v>0</v>
      </c>
      <c r="BL81" s="36">
        <v>0</v>
      </c>
      <c r="BM81" s="93"/>
      <c r="BN81" s="93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5"/>
      <c r="BZ81" s="35"/>
      <c r="CA81" s="35"/>
      <c r="CB81" s="35"/>
      <c r="CC81" s="35"/>
      <c r="CD81" s="35"/>
      <c r="CE81" s="35"/>
      <c r="CF81" s="35"/>
      <c r="CG81" s="36"/>
      <c r="CH81" s="35"/>
      <c r="CI81" s="35"/>
      <c r="CJ81" s="35"/>
      <c r="CK81" s="35"/>
      <c r="CL81" s="35"/>
      <c r="CM81" s="51"/>
      <c r="CN81" s="51"/>
      <c r="CO81" s="51"/>
      <c r="CP81" s="51"/>
      <c r="CQ81" s="35">
        <v>10.7</v>
      </c>
      <c r="CR81" s="35">
        <v>6</v>
      </c>
      <c r="CS81" s="35">
        <v>0</v>
      </c>
      <c r="CT81" s="35">
        <v>4.58</v>
      </c>
      <c r="CU81" s="35">
        <v>0.11999999999999922</v>
      </c>
      <c r="CV81" s="35">
        <v>0</v>
      </c>
      <c r="CW81" s="35"/>
      <c r="CX81" s="35"/>
      <c r="CY81" s="35"/>
      <c r="CZ81" s="36"/>
      <c r="DA81" s="35"/>
      <c r="DB81" s="35"/>
      <c r="DC81" s="35"/>
      <c r="DD81" s="35"/>
      <c r="DE81" s="35"/>
      <c r="DF81" s="35"/>
      <c r="DG81" s="35"/>
      <c r="DH81" s="35"/>
      <c r="DI81" s="36">
        <v>6</v>
      </c>
      <c r="DJ81" s="36">
        <v>20</v>
      </c>
      <c r="DK81" s="35">
        <v>7</v>
      </c>
      <c r="DL81" s="35">
        <v>0</v>
      </c>
      <c r="DM81" s="35">
        <v>5</v>
      </c>
      <c r="DN81" s="35">
        <v>2</v>
      </c>
      <c r="DO81" s="35">
        <v>6</v>
      </c>
      <c r="DP81" s="35"/>
      <c r="DQ81" s="35"/>
      <c r="DR81" s="35"/>
      <c r="DS81" s="36"/>
      <c r="DT81" s="36"/>
      <c r="DU81" s="36"/>
      <c r="DV81" s="36"/>
      <c r="DW81" s="36"/>
      <c r="DX81" s="36"/>
      <c r="DY81" s="36"/>
      <c r="DZ81" s="48"/>
      <c r="EA81" s="35"/>
      <c r="EB81" s="35"/>
      <c r="EC81" s="35"/>
      <c r="ED81" s="35"/>
      <c r="EE81" s="35"/>
      <c r="EF81" s="35"/>
      <c r="EG81" s="35"/>
      <c r="EH81" s="35"/>
      <c r="EI81" s="35"/>
      <c r="EJ81" s="35">
        <v>0.8</v>
      </c>
      <c r="EK81" s="35">
        <v>0</v>
      </c>
      <c r="EL81" s="35">
        <v>0.78</v>
      </c>
      <c r="EM81" s="35">
        <v>0</v>
      </c>
      <c r="EN81" s="35">
        <v>0</v>
      </c>
      <c r="EO81" s="35">
        <v>0.02</v>
      </c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6"/>
      <c r="FC81" s="35"/>
      <c r="FD81" s="35"/>
      <c r="FE81" s="35"/>
      <c r="FF81" s="35"/>
      <c r="FG81" s="35"/>
      <c r="FH81" s="35"/>
      <c r="FI81" s="35"/>
      <c r="FJ81" s="48"/>
      <c r="FK81" s="35">
        <v>1100</v>
      </c>
      <c r="FL81" s="35">
        <v>0</v>
      </c>
      <c r="FM81" s="35">
        <v>0</v>
      </c>
      <c r="FN81" s="35">
        <v>500</v>
      </c>
      <c r="FO81" s="35">
        <v>300</v>
      </c>
      <c r="FP81" s="35">
        <v>300</v>
      </c>
      <c r="FQ81" s="35"/>
      <c r="FR81" s="35"/>
      <c r="FS81" s="35">
        <f t="shared" si="31"/>
        <v>0</v>
      </c>
      <c r="FT81" s="36">
        <v>4</v>
      </c>
      <c r="FU81" s="36">
        <v>0</v>
      </c>
      <c r="FV81" s="36">
        <v>0</v>
      </c>
      <c r="FW81" s="36"/>
      <c r="FX81" s="36">
        <v>0</v>
      </c>
      <c r="FY81" s="36"/>
      <c r="FZ81" s="36"/>
      <c r="GA81" s="48"/>
      <c r="GB81" s="36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6"/>
      <c r="HD81" s="36"/>
      <c r="HE81" s="36"/>
      <c r="HF81" s="36"/>
      <c r="HG81" s="36"/>
      <c r="HH81" s="36"/>
      <c r="HI81" s="36"/>
      <c r="HJ81" s="36"/>
      <c r="HK81" s="36"/>
      <c r="HL81" s="35">
        <v>1</v>
      </c>
      <c r="HM81" s="35">
        <v>0</v>
      </c>
      <c r="HN81" s="35">
        <v>0</v>
      </c>
      <c r="HO81" s="35">
        <v>0</v>
      </c>
      <c r="HP81" s="35">
        <v>0</v>
      </c>
      <c r="HQ81" s="35">
        <v>0</v>
      </c>
      <c r="HR81" s="35">
        <v>0</v>
      </c>
      <c r="HS81" s="35">
        <v>1</v>
      </c>
      <c r="HT81" s="36"/>
      <c r="HU81" s="35"/>
      <c r="HV81" s="35"/>
      <c r="HW81" s="35"/>
      <c r="HX81" s="35"/>
      <c r="HY81" s="35"/>
      <c r="HZ81" s="35"/>
      <c r="IA81" s="35"/>
      <c r="IB81" s="35"/>
      <c r="IC81" s="35"/>
      <c r="ID81" s="35">
        <v>1</v>
      </c>
      <c r="IE81" s="49"/>
      <c r="IF81" s="50">
        <f t="shared" si="32"/>
        <v>0</v>
      </c>
      <c r="IG81" s="50">
        <f t="shared" si="33"/>
        <v>0</v>
      </c>
      <c r="IH81" s="50">
        <f t="shared" si="34"/>
        <v>0</v>
      </c>
      <c r="II81" s="50">
        <f t="shared" si="35"/>
        <v>0</v>
      </c>
      <c r="IJ81" s="50">
        <f t="shared" si="36"/>
        <v>0</v>
      </c>
      <c r="IK81" s="50">
        <f t="shared" si="18"/>
        <v>0</v>
      </c>
      <c r="IL81" s="50">
        <f t="shared" si="37"/>
        <v>0</v>
      </c>
      <c r="IM81" s="50">
        <f t="shared" si="37"/>
        <v>0</v>
      </c>
      <c r="IN81" s="47">
        <f t="shared" si="38"/>
        <v>11.5</v>
      </c>
      <c r="IO81" s="47">
        <f t="shared" si="39"/>
        <v>6</v>
      </c>
      <c r="IP81" s="47">
        <f t="shared" si="40"/>
        <v>0.78</v>
      </c>
      <c r="IQ81" s="47">
        <f t="shared" si="41"/>
        <v>4.58</v>
      </c>
      <c r="IR81" s="47">
        <f t="shared" si="42"/>
        <v>0.11999999999999922</v>
      </c>
      <c r="IS81" s="47">
        <f t="shared" si="43"/>
        <v>0.02</v>
      </c>
      <c r="IT81" s="47">
        <f t="shared" si="44"/>
        <v>0</v>
      </c>
      <c r="IU81" s="95">
        <f t="shared" si="45"/>
        <v>0</v>
      </c>
      <c r="IV81" s="36">
        <v>4.0999999999999996</v>
      </c>
      <c r="IW81" s="52">
        <v>1</v>
      </c>
      <c r="IX81" s="48"/>
    </row>
    <row r="82" spans="1:258" s="5" customFormat="1" ht="15.95" customHeight="1">
      <c r="A82" s="6">
        <v>76</v>
      </c>
      <c r="B82" s="46" t="s">
        <v>153</v>
      </c>
      <c r="C82" s="46" t="s">
        <v>137</v>
      </c>
      <c r="D82" s="46" t="s">
        <v>144</v>
      </c>
      <c r="E82" s="36">
        <v>21.9</v>
      </c>
      <c r="F82" s="47"/>
      <c r="G82" s="47">
        <v>200</v>
      </c>
      <c r="H82" s="47"/>
      <c r="I82" s="47">
        <v>200</v>
      </c>
      <c r="J82" s="47">
        <v>0</v>
      </c>
      <c r="K82" s="47"/>
      <c r="L82" s="47"/>
      <c r="M82" s="47"/>
      <c r="N82" s="47"/>
      <c r="O82" s="36"/>
      <c r="P82" s="36">
        <v>200</v>
      </c>
      <c r="Q82" s="36">
        <v>0</v>
      </c>
      <c r="R82" s="50"/>
      <c r="S82" s="50"/>
      <c r="T82" s="50"/>
      <c r="U82" s="50"/>
      <c r="V82" s="34">
        <v>0</v>
      </c>
      <c r="W82" s="34">
        <v>0</v>
      </c>
      <c r="X82" s="34">
        <v>0</v>
      </c>
      <c r="Y82" s="34">
        <v>0</v>
      </c>
      <c r="Z82" s="34"/>
      <c r="AA82" s="34"/>
      <c r="AB82" s="34"/>
      <c r="AC82" s="34"/>
      <c r="AD82" s="34">
        <v>0</v>
      </c>
      <c r="AE82" s="34">
        <v>0</v>
      </c>
      <c r="AF82" s="34">
        <v>0</v>
      </c>
      <c r="AG82" s="34"/>
      <c r="AH82" s="34"/>
      <c r="AI82" s="47"/>
      <c r="AJ82" s="47"/>
      <c r="AK82" s="47">
        <v>444</v>
      </c>
      <c r="AL82" s="47">
        <v>0</v>
      </c>
      <c r="AM82" s="47">
        <v>246</v>
      </c>
      <c r="AN82" s="92">
        <v>0</v>
      </c>
      <c r="AO82" s="47">
        <v>106</v>
      </c>
      <c r="AP82" s="47">
        <v>92</v>
      </c>
      <c r="AQ82" s="96"/>
      <c r="AR82" s="96"/>
      <c r="AS82" s="36">
        <v>0</v>
      </c>
      <c r="AT82" s="36">
        <v>0</v>
      </c>
      <c r="AU82" s="93">
        <v>0</v>
      </c>
      <c r="AV82" s="50"/>
      <c r="AW82" s="50">
        <v>444</v>
      </c>
      <c r="AX82" s="92"/>
      <c r="AY82" s="92"/>
      <c r="AZ82" s="47">
        <v>0</v>
      </c>
      <c r="BA82" s="47"/>
      <c r="BB82" s="92">
        <v>0</v>
      </c>
      <c r="BC82" s="47">
        <v>0</v>
      </c>
      <c r="BD82" s="47">
        <v>0</v>
      </c>
      <c r="BE82" s="47">
        <v>0</v>
      </c>
      <c r="BF82" s="96"/>
      <c r="BG82" s="96"/>
      <c r="BH82" s="47"/>
      <c r="BI82" s="93">
        <v>0</v>
      </c>
      <c r="BJ82" s="93">
        <v>0</v>
      </c>
      <c r="BK82" s="36">
        <v>0</v>
      </c>
      <c r="BL82" s="36">
        <v>0</v>
      </c>
      <c r="BM82" s="93"/>
      <c r="BN82" s="93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5"/>
      <c r="BZ82" s="35"/>
      <c r="CA82" s="35"/>
      <c r="CB82" s="35"/>
      <c r="CC82" s="35"/>
      <c r="CD82" s="35"/>
      <c r="CE82" s="35"/>
      <c r="CF82" s="35"/>
      <c r="CG82" s="36"/>
      <c r="CH82" s="35"/>
      <c r="CI82" s="35"/>
      <c r="CJ82" s="35"/>
      <c r="CK82" s="35"/>
      <c r="CL82" s="35"/>
      <c r="CM82" s="51"/>
      <c r="CN82" s="51"/>
      <c r="CO82" s="51"/>
      <c r="CP82" s="51"/>
      <c r="CQ82" s="35">
        <v>11.1</v>
      </c>
      <c r="CR82" s="35">
        <v>5</v>
      </c>
      <c r="CS82" s="35">
        <v>0</v>
      </c>
      <c r="CT82" s="35">
        <v>3.6</v>
      </c>
      <c r="CU82" s="35">
        <v>1</v>
      </c>
      <c r="CV82" s="35">
        <v>1.5</v>
      </c>
      <c r="CW82" s="35"/>
      <c r="CX82" s="35"/>
      <c r="CY82" s="35"/>
      <c r="CZ82" s="36"/>
      <c r="DA82" s="35"/>
      <c r="DB82" s="35"/>
      <c r="DC82" s="35"/>
      <c r="DD82" s="35"/>
      <c r="DE82" s="35"/>
      <c r="DF82" s="35"/>
      <c r="DG82" s="35"/>
      <c r="DH82" s="35"/>
      <c r="DI82" s="36">
        <v>3</v>
      </c>
      <c r="DJ82" s="36">
        <v>9</v>
      </c>
      <c r="DK82" s="35">
        <v>5</v>
      </c>
      <c r="DL82" s="35">
        <v>0</v>
      </c>
      <c r="DM82" s="35">
        <v>2</v>
      </c>
      <c r="DN82" s="35">
        <v>1</v>
      </c>
      <c r="DO82" s="35">
        <v>1</v>
      </c>
      <c r="DP82" s="35"/>
      <c r="DQ82" s="35"/>
      <c r="DR82" s="35"/>
      <c r="DS82" s="36"/>
      <c r="DT82" s="36"/>
      <c r="DU82" s="36"/>
      <c r="DV82" s="36"/>
      <c r="DW82" s="36"/>
      <c r="DX82" s="36"/>
      <c r="DY82" s="36"/>
      <c r="DZ82" s="48"/>
      <c r="EA82" s="35"/>
      <c r="EB82" s="35"/>
      <c r="EC82" s="35"/>
      <c r="ED82" s="35"/>
      <c r="EE82" s="35"/>
      <c r="EF82" s="35"/>
      <c r="EG82" s="35"/>
      <c r="EH82" s="35"/>
      <c r="EI82" s="35"/>
      <c r="EJ82" s="35">
        <v>1</v>
      </c>
      <c r="EK82" s="35">
        <v>0</v>
      </c>
      <c r="EL82" s="35">
        <v>0.4</v>
      </c>
      <c r="EM82" s="35">
        <v>0</v>
      </c>
      <c r="EN82" s="35">
        <v>0</v>
      </c>
      <c r="EO82" s="35">
        <v>0.6</v>
      </c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6"/>
      <c r="FC82" s="35"/>
      <c r="FD82" s="35"/>
      <c r="FE82" s="35"/>
      <c r="FF82" s="35"/>
      <c r="FG82" s="35"/>
      <c r="FH82" s="35"/>
      <c r="FI82" s="35"/>
      <c r="FJ82" s="48"/>
      <c r="FK82" s="35">
        <v>900</v>
      </c>
      <c r="FL82" s="35">
        <v>0</v>
      </c>
      <c r="FM82" s="35">
        <v>0</v>
      </c>
      <c r="FN82" s="35">
        <v>0</v>
      </c>
      <c r="FO82" s="35"/>
      <c r="FP82" s="35">
        <v>900</v>
      </c>
      <c r="FQ82" s="35"/>
      <c r="FR82" s="35"/>
      <c r="FS82" s="35">
        <f t="shared" si="31"/>
        <v>0</v>
      </c>
      <c r="FT82" s="36"/>
      <c r="FU82" s="36"/>
      <c r="FV82" s="36"/>
      <c r="FW82" s="36"/>
      <c r="FX82" s="36"/>
      <c r="FY82" s="36"/>
      <c r="FZ82" s="36"/>
      <c r="GA82" s="48"/>
      <c r="GB82" s="36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6"/>
      <c r="HD82" s="36"/>
      <c r="HE82" s="36"/>
      <c r="HF82" s="36"/>
      <c r="HG82" s="36"/>
      <c r="HH82" s="36"/>
      <c r="HI82" s="36"/>
      <c r="HJ82" s="36"/>
      <c r="HK82" s="36"/>
      <c r="HL82" s="35">
        <v>0</v>
      </c>
      <c r="HM82" s="35"/>
      <c r="HN82" s="35"/>
      <c r="HO82" s="35">
        <v>0</v>
      </c>
      <c r="HP82" s="35"/>
      <c r="HQ82" s="35"/>
      <c r="HR82" s="35">
        <v>0</v>
      </c>
      <c r="HS82" s="35">
        <v>1</v>
      </c>
      <c r="HT82" s="36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49"/>
      <c r="IF82" s="50">
        <f t="shared" si="32"/>
        <v>0</v>
      </c>
      <c r="IG82" s="50">
        <f t="shared" si="33"/>
        <v>0</v>
      </c>
      <c r="IH82" s="50">
        <f t="shared" si="34"/>
        <v>0</v>
      </c>
      <c r="II82" s="50">
        <f t="shared" si="35"/>
        <v>0</v>
      </c>
      <c r="IJ82" s="50">
        <f t="shared" si="36"/>
        <v>0</v>
      </c>
      <c r="IK82" s="50">
        <f t="shared" si="18"/>
        <v>0</v>
      </c>
      <c r="IL82" s="50">
        <f t="shared" si="37"/>
        <v>0</v>
      </c>
      <c r="IM82" s="50">
        <f t="shared" si="37"/>
        <v>0</v>
      </c>
      <c r="IN82" s="47">
        <f t="shared" si="38"/>
        <v>12.1</v>
      </c>
      <c r="IO82" s="47">
        <f t="shared" si="39"/>
        <v>5</v>
      </c>
      <c r="IP82" s="47">
        <f t="shared" si="40"/>
        <v>0.4</v>
      </c>
      <c r="IQ82" s="47">
        <f t="shared" si="41"/>
        <v>3.6</v>
      </c>
      <c r="IR82" s="47">
        <f t="shared" si="42"/>
        <v>1</v>
      </c>
      <c r="IS82" s="47">
        <f t="shared" si="43"/>
        <v>2.1</v>
      </c>
      <c r="IT82" s="47">
        <f t="shared" si="44"/>
        <v>0</v>
      </c>
      <c r="IU82" s="95">
        <f t="shared" si="45"/>
        <v>0</v>
      </c>
      <c r="IV82" s="36">
        <v>2.2999999999999998</v>
      </c>
      <c r="IW82" s="52">
        <v>1</v>
      </c>
      <c r="IX82" s="48"/>
    </row>
    <row r="83" spans="1:258" s="5" customFormat="1" ht="15.95" customHeight="1">
      <c r="A83" s="6">
        <v>77</v>
      </c>
      <c r="B83" s="46" t="s">
        <v>154</v>
      </c>
      <c r="C83" s="46" t="s">
        <v>137</v>
      </c>
      <c r="D83" s="46" t="s">
        <v>144</v>
      </c>
      <c r="E83" s="36">
        <v>103.5</v>
      </c>
      <c r="F83" s="47"/>
      <c r="G83" s="47">
        <v>200</v>
      </c>
      <c r="H83" s="47"/>
      <c r="I83" s="47">
        <v>200</v>
      </c>
      <c r="J83" s="47">
        <v>0</v>
      </c>
      <c r="K83" s="47"/>
      <c r="L83" s="47"/>
      <c r="M83" s="47"/>
      <c r="N83" s="47"/>
      <c r="O83" s="36"/>
      <c r="P83" s="36">
        <v>200</v>
      </c>
      <c r="Q83" s="36">
        <v>0</v>
      </c>
      <c r="R83" s="50"/>
      <c r="S83" s="50"/>
      <c r="T83" s="50"/>
      <c r="U83" s="50"/>
      <c r="V83" s="34">
        <v>0</v>
      </c>
      <c r="W83" s="34">
        <v>0</v>
      </c>
      <c r="X83" s="34">
        <v>0</v>
      </c>
      <c r="Y83" s="34">
        <v>0</v>
      </c>
      <c r="Z83" s="34"/>
      <c r="AA83" s="34"/>
      <c r="AB83" s="34"/>
      <c r="AC83" s="34"/>
      <c r="AD83" s="34">
        <v>0</v>
      </c>
      <c r="AE83" s="34">
        <v>0</v>
      </c>
      <c r="AF83" s="34">
        <v>0</v>
      </c>
      <c r="AG83" s="34"/>
      <c r="AH83" s="34"/>
      <c r="AI83" s="47"/>
      <c r="AJ83" s="47"/>
      <c r="AK83" s="47">
        <v>783</v>
      </c>
      <c r="AL83" s="47">
        <v>0</v>
      </c>
      <c r="AM83" s="47">
        <v>233</v>
      </c>
      <c r="AN83" s="92">
        <v>2</v>
      </c>
      <c r="AO83" s="47">
        <v>214</v>
      </c>
      <c r="AP83" s="47">
        <v>334</v>
      </c>
      <c r="AQ83" s="96"/>
      <c r="AR83" s="96"/>
      <c r="AS83" s="36">
        <v>0</v>
      </c>
      <c r="AT83" s="36">
        <v>0</v>
      </c>
      <c r="AU83" s="93">
        <v>135</v>
      </c>
      <c r="AV83" s="50"/>
      <c r="AW83" s="50">
        <v>648</v>
      </c>
      <c r="AX83" s="92"/>
      <c r="AY83" s="92"/>
      <c r="AZ83" s="47">
        <v>30</v>
      </c>
      <c r="BA83" s="47"/>
      <c r="BB83" s="92">
        <v>30</v>
      </c>
      <c r="BC83" s="47">
        <v>0</v>
      </c>
      <c r="BD83" s="47">
        <v>0</v>
      </c>
      <c r="BE83" s="47">
        <v>0</v>
      </c>
      <c r="BF83" s="96"/>
      <c r="BG83" s="96"/>
      <c r="BH83" s="47"/>
      <c r="BI83" s="93">
        <v>30</v>
      </c>
      <c r="BJ83" s="93">
        <v>0</v>
      </c>
      <c r="BK83" s="36">
        <v>0</v>
      </c>
      <c r="BL83" s="36">
        <v>0</v>
      </c>
      <c r="BM83" s="93"/>
      <c r="BN83" s="93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5"/>
      <c r="BZ83" s="35"/>
      <c r="CA83" s="35"/>
      <c r="CB83" s="35"/>
      <c r="CC83" s="35"/>
      <c r="CD83" s="35"/>
      <c r="CE83" s="35"/>
      <c r="CF83" s="35"/>
      <c r="CG83" s="36">
        <v>0.6</v>
      </c>
      <c r="CH83" s="35"/>
      <c r="CI83" s="35"/>
      <c r="CJ83" s="35">
        <v>0</v>
      </c>
      <c r="CK83" s="35"/>
      <c r="CL83" s="35">
        <v>0.6</v>
      </c>
      <c r="CM83" s="51"/>
      <c r="CN83" s="51"/>
      <c r="CO83" s="51"/>
      <c r="CP83" s="51"/>
      <c r="CQ83" s="35">
        <v>9</v>
      </c>
      <c r="CR83" s="35">
        <v>0</v>
      </c>
      <c r="CS83" s="35">
        <v>0</v>
      </c>
      <c r="CT83" s="35">
        <v>0</v>
      </c>
      <c r="CU83" s="35">
        <v>0</v>
      </c>
      <c r="CV83" s="35">
        <v>9</v>
      </c>
      <c r="CW83" s="35"/>
      <c r="CX83" s="35"/>
      <c r="CY83" s="35"/>
      <c r="CZ83" s="36"/>
      <c r="DA83" s="35"/>
      <c r="DB83" s="35"/>
      <c r="DC83" s="35"/>
      <c r="DD83" s="35"/>
      <c r="DE83" s="35"/>
      <c r="DF83" s="35"/>
      <c r="DG83" s="35"/>
      <c r="DH83" s="35"/>
      <c r="DI83" s="36">
        <v>2</v>
      </c>
      <c r="DJ83" s="36">
        <v>18</v>
      </c>
      <c r="DK83" s="35">
        <v>2</v>
      </c>
      <c r="DL83" s="35">
        <v>0</v>
      </c>
      <c r="DM83" s="35">
        <v>0</v>
      </c>
      <c r="DN83" s="35">
        <v>0</v>
      </c>
      <c r="DO83" s="35">
        <v>16</v>
      </c>
      <c r="DP83" s="35"/>
      <c r="DQ83" s="35"/>
      <c r="DR83" s="35"/>
      <c r="DS83" s="36"/>
      <c r="DT83" s="36"/>
      <c r="DU83" s="36"/>
      <c r="DV83" s="36"/>
      <c r="DW83" s="36"/>
      <c r="DX83" s="36"/>
      <c r="DY83" s="36"/>
      <c r="DZ83" s="48"/>
      <c r="EA83" s="35"/>
      <c r="EB83" s="35"/>
      <c r="EC83" s="35"/>
      <c r="ED83" s="35"/>
      <c r="EE83" s="35"/>
      <c r="EF83" s="35"/>
      <c r="EG83" s="35"/>
      <c r="EH83" s="35"/>
      <c r="EI83" s="35"/>
      <c r="EJ83" s="35">
        <v>1</v>
      </c>
      <c r="EK83" s="35">
        <v>0</v>
      </c>
      <c r="EL83" s="35">
        <v>0.5</v>
      </c>
      <c r="EM83" s="35">
        <v>0.25</v>
      </c>
      <c r="EN83" s="35">
        <v>0</v>
      </c>
      <c r="EO83" s="35">
        <v>0.25</v>
      </c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6"/>
      <c r="FC83" s="35"/>
      <c r="FD83" s="35"/>
      <c r="FE83" s="35"/>
      <c r="FF83" s="35"/>
      <c r="FG83" s="35"/>
      <c r="FH83" s="35"/>
      <c r="FI83" s="35"/>
      <c r="FJ83" s="48"/>
      <c r="FK83" s="35">
        <v>900</v>
      </c>
      <c r="FL83" s="35">
        <v>0</v>
      </c>
      <c r="FM83" s="35">
        <v>0</v>
      </c>
      <c r="FN83" s="35">
        <v>0</v>
      </c>
      <c r="FO83" s="35"/>
      <c r="FP83" s="35">
        <v>900</v>
      </c>
      <c r="FQ83" s="35"/>
      <c r="FR83" s="35"/>
      <c r="FS83" s="35">
        <f t="shared" si="31"/>
        <v>0</v>
      </c>
      <c r="FT83" s="36"/>
      <c r="FU83" s="36"/>
      <c r="FV83" s="36"/>
      <c r="FW83" s="36"/>
      <c r="FX83" s="36"/>
      <c r="FY83" s="36"/>
      <c r="FZ83" s="36"/>
      <c r="GA83" s="48"/>
      <c r="GB83" s="36">
        <v>1</v>
      </c>
      <c r="GC83" s="35">
        <v>0</v>
      </c>
      <c r="GD83" s="35">
        <v>0</v>
      </c>
      <c r="GE83" s="35">
        <v>0.33</v>
      </c>
      <c r="GF83" s="35"/>
      <c r="GG83" s="35">
        <v>0.67</v>
      </c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6"/>
      <c r="HD83" s="36"/>
      <c r="HE83" s="36"/>
      <c r="HF83" s="36"/>
      <c r="HG83" s="36"/>
      <c r="HH83" s="36"/>
      <c r="HI83" s="36"/>
      <c r="HJ83" s="36"/>
      <c r="HK83" s="36"/>
      <c r="HL83" s="35">
        <v>1</v>
      </c>
      <c r="HM83" s="35">
        <v>0</v>
      </c>
      <c r="HN83" s="35">
        <v>0</v>
      </c>
      <c r="HO83" s="35">
        <v>0</v>
      </c>
      <c r="HP83" s="35">
        <v>0</v>
      </c>
      <c r="HQ83" s="35">
        <v>0</v>
      </c>
      <c r="HR83" s="35">
        <v>1</v>
      </c>
      <c r="HS83" s="35">
        <v>0</v>
      </c>
      <c r="HT83" s="36"/>
      <c r="HU83" s="35"/>
      <c r="HV83" s="35"/>
      <c r="HW83" s="35"/>
      <c r="HX83" s="35"/>
      <c r="HY83" s="35"/>
      <c r="HZ83" s="35"/>
      <c r="IA83" s="35"/>
      <c r="IB83" s="35"/>
      <c r="IC83" s="35"/>
      <c r="ID83" s="35">
        <v>1</v>
      </c>
      <c r="IE83" s="49"/>
      <c r="IF83" s="50">
        <f t="shared" si="32"/>
        <v>1.6</v>
      </c>
      <c r="IG83" s="50">
        <f t="shared" si="33"/>
        <v>0</v>
      </c>
      <c r="IH83" s="50">
        <f t="shared" si="34"/>
        <v>0</v>
      </c>
      <c r="II83" s="50">
        <f t="shared" si="35"/>
        <v>0.33</v>
      </c>
      <c r="IJ83" s="50">
        <f t="shared" si="36"/>
        <v>0</v>
      </c>
      <c r="IK83" s="50">
        <f t="shared" si="18"/>
        <v>1.27</v>
      </c>
      <c r="IL83" s="50">
        <f t="shared" si="37"/>
        <v>0</v>
      </c>
      <c r="IM83" s="50">
        <f t="shared" si="37"/>
        <v>0</v>
      </c>
      <c r="IN83" s="47">
        <f t="shared" si="38"/>
        <v>10</v>
      </c>
      <c r="IO83" s="47">
        <f t="shared" si="39"/>
        <v>0</v>
      </c>
      <c r="IP83" s="47">
        <f t="shared" si="40"/>
        <v>0.5</v>
      </c>
      <c r="IQ83" s="47">
        <f t="shared" si="41"/>
        <v>0.25</v>
      </c>
      <c r="IR83" s="47">
        <f t="shared" si="42"/>
        <v>0</v>
      </c>
      <c r="IS83" s="47">
        <f t="shared" si="43"/>
        <v>9.25</v>
      </c>
      <c r="IT83" s="47">
        <f t="shared" si="44"/>
        <v>0</v>
      </c>
      <c r="IU83" s="95">
        <f t="shared" si="45"/>
        <v>0</v>
      </c>
      <c r="IV83" s="36">
        <v>7.3</v>
      </c>
      <c r="IW83" s="52">
        <v>1</v>
      </c>
      <c r="IX83" s="48"/>
    </row>
    <row r="84" spans="1:258" s="5" customFormat="1" ht="15.95" customHeight="1">
      <c r="A84" s="12">
        <v>78</v>
      </c>
      <c r="B84" s="46" t="s">
        <v>155</v>
      </c>
      <c r="C84" s="46" t="s">
        <v>137</v>
      </c>
      <c r="D84" s="46" t="s">
        <v>144</v>
      </c>
      <c r="E84" s="36">
        <v>56</v>
      </c>
      <c r="F84" s="47"/>
      <c r="G84" s="47">
        <v>800</v>
      </c>
      <c r="H84" s="47"/>
      <c r="I84" s="47">
        <v>800</v>
      </c>
      <c r="J84" s="47">
        <v>0</v>
      </c>
      <c r="K84" s="47"/>
      <c r="L84" s="47"/>
      <c r="M84" s="47"/>
      <c r="N84" s="47"/>
      <c r="O84" s="36"/>
      <c r="P84" s="36">
        <v>800</v>
      </c>
      <c r="Q84" s="36">
        <v>0</v>
      </c>
      <c r="R84" s="50"/>
      <c r="S84" s="50"/>
      <c r="T84" s="50"/>
      <c r="U84" s="50"/>
      <c r="V84" s="34">
        <v>0</v>
      </c>
      <c r="W84" s="34">
        <v>0</v>
      </c>
      <c r="X84" s="34">
        <v>0</v>
      </c>
      <c r="Y84" s="34">
        <v>0</v>
      </c>
      <c r="Z84" s="34"/>
      <c r="AA84" s="34"/>
      <c r="AB84" s="34"/>
      <c r="AC84" s="34"/>
      <c r="AD84" s="34">
        <v>0</v>
      </c>
      <c r="AE84" s="34">
        <v>0</v>
      </c>
      <c r="AF84" s="34">
        <v>0</v>
      </c>
      <c r="AG84" s="34"/>
      <c r="AH84" s="34"/>
      <c r="AI84" s="47"/>
      <c r="AJ84" s="47"/>
      <c r="AK84" s="47">
        <v>129</v>
      </c>
      <c r="AL84" s="47">
        <v>0</v>
      </c>
      <c r="AM84" s="47">
        <v>45</v>
      </c>
      <c r="AN84" s="92">
        <v>6</v>
      </c>
      <c r="AO84" s="47">
        <v>29</v>
      </c>
      <c r="AP84" s="47">
        <v>49</v>
      </c>
      <c r="AQ84" s="96"/>
      <c r="AR84" s="96"/>
      <c r="AS84" s="36">
        <v>0</v>
      </c>
      <c r="AT84" s="36">
        <v>0</v>
      </c>
      <c r="AU84" s="93">
        <v>51</v>
      </c>
      <c r="AV84" s="50"/>
      <c r="AW84" s="50">
        <v>78</v>
      </c>
      <c r="AX84" s="92"/>
      <c r="AY84" s="92"/>
      <c r="AZ84" s="47">
        <v>77</v>
      </c>
      <c r="BA84" s="47"/>
      <c r="BB84" s="92">
        <v>77</v>
      </c>
      <c r="BC84" s="47">
        <v>0</v>
      </c>
      <c r="BD84" s="47">
        <v>0</v>
      </c>
      <c r="BE84" s="47">
        <v>0</v>
      </c>
      <c r="BF84" s="96"/>
      <c r="BG84" s="96"/>
      <c r="BH84" s="47"/>
      <c r="BI84" s="93">
        <v>77</v>
      </c>
      <c r="BJ84" s="93">
        <v>0</v>
      </c>
      <c r="BK84" s="36">
        <v>0</v>
      </c>
      <c r="BL84" s="36">
        <v>0</v>
      </c>
      <c r="BM84" s="93"/>
      <c r="BN84" s="93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5"/>
      <c r="BZ84" s="35"/>
      <c r="CA84" s="35"/>
      <c r="CB84" s="35"/>
      <c r="CC84" s="35"/>
      <c r="CD84" s="35"/>
      <c r="CE84" s="35"/>
      <c r="CF84" s="35"/>
      <c r="CG84" s="36"/>
      <c r="CH84" s="35"/>
      <c r="CI84" s="35"/>
      <c r="CJ84" s="35"/>
      <c r="CK84" s="35"/>
      <c r="CL84" s="35"/>
      <c r="CM84" s="51"/>
      <c r="CN84" s="51"/>
      <c r="CO84" s="51"/>
      <c r="CP84" s="51"/>
      <c r="CQ84" s="35"/>
      <c r="CR84" s="35"/>
      <c r="CS84" s="35"/>
      <c r="CT84" s="35"/>
      <c r="CU84" s="35"/>
      <c r="CV84" s="35"/>
      <c r="CW84" s="35"/>
      <c r="CX84" s="35"/>
      <c r="CY84" s="35"/>
      <c r="CZ84" s="36"/>
      <c r="DA84" s="35"/>
      <c r="DB84" s="35"/>
      <c r="DC84" s="35"/>
      <c r="DD84" s="35"/>
      <c r="DE84" s="35"/>
      <c r="DF84" s="35"/>
      <c r="DG84" s="35"/>
      <c r="DH84" s="35"/>
      <c r="DI84" s="36"/>
      <c r="DJ84" s="36"/>
      <c r="DK84" s="35"/>
      <c r="DL84" s="35"/>
      <c r="DM84" s="35"/>
      <c r="DN84" s="35"/>
      <c r="DO84" s="35"/>
      <c r="DP84" s="35"/>
      <c r="DQ84" s="35"/>
      <c r="DR84" s="35"/>
      <c r="DS84" s="36"/>
      <c r="DT84" s="36"/>
      <c r="DU84" s="36"/>
      <c r="DV84" s="36"/>
      <c r="DW84" s="36"/>
      <c r="DX84" s="36"/>
      <c r="DY84" s="36"/>
      <c r="DZ84" s="48"/>
      <c r="EA84" s="35"/>
      <c r="EB84" s="35"/>
      <c r="EC84" s="35"/>
      <c r="ED84" s="35"/>
      <c r="EE84" s="35"/>
      <c r="EF84" s="35"/>
      <c r="EG84" s="35"/>
      <c r="EH84" s="35"/>
      <c r="EI84" s="35"/>
      <c r="EJ84" s="35">
        <v>1.2</v>
      </c>
      <c r="EK84" s="35">
        <v>0</v>
      </c>
      <c r="EL84" s="35">
        <v>1.74</v>
      </c>
      <c r="EM84" s="35">
        <v>0</v>
      </c>
      <c r="EN84" s="35">
        <v>0</v>
      </c>
      <c r="EO84" s="35">
        <v>0</v>
      </c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6"/>
      <c r="FC84" s="35"/>
      <c r="FD84" s="35"/>
      <c r="FE84" s="35"/>
      <c r="FF84" s="35"/>
      <c r="FG84" s="35"/>
      <c r="FH84" s="35"/>
      <c r="FI84" s="35"/>
      <c r="FJ84" s="48"/>
      <c r="FK84" s="35"/>
      <c r="FL84" s="35"/>
      <c r="FM84" s="35"/>
      <c r="FN84" s="35"/>
      <c r="FO84" s="35"/>
      <c r="FP84" s="35"/>
      <c r="FQ84" s="35"/>
      <c r="FR84" s="35"/>
      <c r="FS84" s="35">
        <f t="shared" si="31"/>
        <v>0</v>
      </c>
      <c r="FT84" s="36"/>
      <c r="FU84" s="36"/>
      <c r="FV84" s="36"/>
      <c r="FW84" s="36"/>
      <c r="FX84" s="36"/>
      <c r="FY84" s="36"/>
      <c r="FZ84" s="36"/>
      <c r="GA84" s="48"/>
      <c r="GB84" s="36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6"/>
      <c r="HD84" s="36"/>
      <c r="HE84" s="36"/>
      <c r="HF84" s="36"/>
      <c r="HG84" s="36"/>
      <c r="HH84" s="36"/>
      <c r="HI84" s="36"/>
      <c r="HJ84" s="36"/>
      <c r="HK84" s="36"/>
      <c r="HL84" s="35">
        <v>1</v>
      </c>
      <c r="HM84" s="35">
        <v>0</v>
      </c>
      <c r="HN84" s="35">
        <v>0.5</v>
      </c>
      <c r="HO84" s="35">
        <v>0</v>
      </c>
      <c r="HP84" s="35">
        <v>0</v>
      </c>
      <c r="HQ84" s="35">
        <v>0</v>
      </c>
      <c r="HR84" s="35">
        <v>0.5</v>
      </c>
      <c r="HS84" s="35">
        <v>0</v>
      </c>
      <c r="HT84" s="36"/>
      <c r="HU84" s="35">
        <v>1</v>
      </c>
      <c r="HV84" s="35">
        <v>0</v>
      </c>
      <c r="HW84" s="35">
        <v>0</v>
      </c>
      <c r="HX84" s="35">
        <v>1</v>
      </c>
      <c r="HY84" s="35"/>
      <c r="HZ84" s="35"/>
      <c r="IA84" s="35"/>
      <c r="IB84" s="35"/>
      <c r="IC84" s="35"/>
      <c r="ID84" s="35"/>
      <c r="IE84" s="49"/>
      <c r="IF84" s="50">
        <f t="shared" si="32"/>
        <v>0</v>
      </c>
      <c r="IG84" s="50">
        <f t="shared" si="33"/>
        <v>0</v>
      </c>
      <c r="IH84" s="50">
        <f t="shared" si="34"/>
        <v>0</v>
      </c>
      <c r="II84" s="50">
        <f t="shared" si="35"/>
        <v>0</v>
      </c>
      <c r="IJ84" s="50">
        <f t="shared" si="36"/>
        <v>0</v>
      </c>
      <c r="IK84" s="50">
        <f t="shared" si="18"/>
        <v>0</v>
      </c>
      <c r="IL84" s="50">
        <f t="shared" si="37"/>
        <v>0</v>
      </c>
      <c r="IM84" s="50">
        <f t="shared" si="37"/>
        <v>0</v>
      </c>
      <c r="IN84" s="47">
        <f t="shared" si="38"/>
        <v>1.2</v>
      </c>
      <c r="IO84" s="47">
        <f t="shared" si="39"/>
        <v>0</v>
      </c>
      <c r="IP84" s="47">
        <f t="shared" si="40"/>
        <v>1.74</v>
      </c>
      <c r="IQ84" s="47">
        <f t="shared" si="41"/>
        <v>0</v>
      </c>
      <c r="IR84" s="47">
        <f t="shared" si="42"/>
        <v>0</v>
      </c>
      <c r="IS84" s="47">
        <f t="shared" si="43"/>
        <v>0</v>
      </c>
      <c r="IT84" s="47">
        <f t="shared" si="44"/>
        <v>0</v>
      </c>
      <c r="IU84" s="95">
        <f t="shared" si="45"/>
        <v>0</v>
      </c>
      <c r="IV84" s="36">
        <v>11.7</v>
      </c>
      <c r="IW84" s="52">
        <v>1</v>
      </c>
      <c r="IX84" s="48"/>
    </row>
    <row r="85" spans="1:258" s="5" customFormat="1" ht="15.95" customHeight="1">
      <c r="A85" s="6">
        <v>79</v>
      </c>
      <c r="B85" s="46" t="s">
        <v>156</v>
      </c>
      <c r="C85" s="46" t="s">
        <v>137</v>
      </c>
      <c r="D85" s="46" t="s">
        <v>144</v>
      </c>
      <c r="E85" s="36">
        <v>78.599999999999994</v>
      </c>
      <c r="F85" s="47"/>
      <c r="G85" s="47">
        <v>200</v>
      </c>
      <c r="H85" s="47"/>
      <c r="I85" s="47">
        <v>200</v>
      </c>
      <c r="J85" s="47">
        <v>0</v>
      </c>
      <c r="K85" s="47"/>
      <c r="L85" s="47"/>
      <c r="M85" s="47"/>
      <c r="N85" s="47"/>
      <c r="O85" s="36"/>
      <c r="P85" s="36">
        <v>200</v>
      </c>
      <c r="Q85" s="36">
        <v>0</v>
      </c>
      <c r="R85" s="50"/>
      <c r="S85" s="50"/>
      <c r="T85" s="50"/>
      <c r="U85" s="50"/>
      <c r="V85" s="34">
        <v>0</v>
      </c>
      <c r="W85" s="34">
        <v>0</v>
      </c>
      <c r="X85" s="34">
        <v>0</v>
      </c>
      <c r="Y85" s="34">
        <v>0</v>
      </c>
      <c r="Z85" s="34"/>
      <c r="AA85" s="34"/>
      <c r="AB85" s="34"/>
      <c r="AC85" s="34"/>
      <c r="AD85" s="34">
        <v>0</v>
      </c>
      <c r="AE85" s="34">
        <v>0</v>
      </c>
      <c r="AF85" s="34">
        <v>0</v>
      </c>
      <c r="AG85" s="34"/>
      <c r="AH85" s="34"/>
      <c r="AI85" s="47"/>
      <c r="AJ85" s="47"/>
      <c r="AK85" s="47">
        <v>301</v>
      </c>
      <c r="AL85" s="47">
        <v>0</v>
      </c>
      <c r="AM85" s="47">
        <v>0</v>
      </c>
      <c r="AN85" s="92">
        <v>101</v>
      </c>
      <c r="AO85" s="47">
        <v>122</v>
      </c>
      <c r="AP85" s="47">
        <v>78</v>
      </c>
      <c r="AQ85" s="96"/>
      <c r="AR85" s="96"/>
      <c r="AS85" s="36">
        <v>0</v>
      </c>
      <c r="AT85" s="36">
        <v>0</v>
      </c>
      <c r="AU85" s="93">
        <v>0</v>
      </c>
      <c r="AV85" s="50"/>
      <c r="AW85" s="50">
        <v>301</v>
      </c>
      <c r="AX85" s="92"/>
      <c r="AY85" s="92"/>
      <c r="AZ85" s="47">
        <v>0</v>
      </c>
      <c r="BA85" s="47"/>
      <c r="BB85" s="92">
        <v>0</v>
      </c>
      <c r="BC85" s="47">
        <v>0</v>
      </c>
      <c r="BD85" s="47">
        <v>0</v>
      </c>
      <c r="BE85" s="47">
        <v>0</v>
      </c>
      <c r="BF85" s="96"/>
      <c r="BG85" s="96"/>
      <c r="BH85" s="47"/>
      <c r="BI85" s="93">
        <v>0</v>
      </c>
      <c r="BJ85" s="93">
        <v>30</v>
      </c>
      <c r="BK85" s="36">
        <v>0</v>
      </c>
      <c r="BL85" s="36">
        <v>0</v>
      </c>
      <c r="BM85" s="93"/>
      <c r="BN85" s="93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5"/>
      <c r="BZ85" s="35"/>
      <c r="CA85" s="35"/>
      <c r="CB85" s="35"/>
      <c r="CC85" s="35"/>
      <c r="CD85" s="35"/>
      <c r="CE85" s="35"/>
      <c r="CF85" s="35"/>
      <c r="CG85" s="36"/>
      <c r="CH85" s="35"/>
      <c r="CI85" s="35"/>
      <c r="CJ85" s="35"/>
      <c r="CK85" s="35"/>
      <c r="CL85" s="35"/>
      <c r="CM85" s="51"/>
      <c r="CN85" s="51"/>
      <c r="CO85" s="51"/>
      <c r="CP85" s="51"/>
      <c r="CQ85" s="35">
        <v>2.1</v>
      </c>
      <c r="CR85" s="35">
        <v>0</v>
      </c>
      <c r="CS85" s="35">
        <v>0</v>
      </c>
      <c r="CT85" s="35">
        <v>0</v>
      </c>
      <c r="CU85" s="35">
        <v>0</v>
      </c>
      <c r="CV85" s="35">
        <v>2.1</v>
      </c>
      <c r="CW85" s="35"/>
      <c r="CX85" s="35"/>
      <c r="CY85" s="35"/>
      <c r="CZ85" s="36">
        <v>50</v>
      </c>
      <c r="DA85" s="35">
        <v>0</v>
      </c>
      <c r="DB85" s="35">
        <v>0</v>
      </c>
      <c r="DC85" s="35">
        <v>0</v>
      </c>
      <c r="DD85" s="35"/>
      <c r="DE85" s="35">
        <v>50</v>
      </c>
      <c r="DF85" s="35"/>
      <c r="DG85" s="35"/>
      <c r="DH85" s="35"/>
      <c r="DI85" s="36"/>
      <c r="DJ85" s="36"/>
      <c r="DK85" s="35"/>
      <c r="DL85" s="35"/>
      <c r="DM85" s="35"/>
      <c r="DN85" s="35"/>
      <c r="DO85" s="35"/>
      <c r="DP85" s="35"/>
      <c r="DQ85" s="35"/>
      <c r="DR85" s="35"/>
      <c r="DS85" s="36"/>
      <c r="DT85" s="36"/>
      <c r="DU85" s="36"/>
      <c r="DV85" s="36"/>
      <c r="DW85" s="36"/>
      <c r="DX85" s="36"/>
      <c r="DY85" s="36"/>
      <c r="DZ85" s="48"/>
      <c r="EA85" s="35"/>
      <c r="EB85" s="35"/>
      <c r="EC85" s="35"/>
      <c r="ED85" s="35"/>
      <c r="EE85" s="35"/>
      <c r="EF85" s="35"/>
      <c r="EG85" s="35"/>
      <c r="EH85" s="35"/>
      <c r="EI85" s="35"/>
      <c r="EJ85" s="35">
        <v>1</v>
      </c>
      <c r="EK85" s="35">
        <v>0</v>
      </c>
      <c r="EL85" s="35">
        <v>0.3</v>
      </c>
      <c r="EM85" s="35">
        <v>0.23</v>
      </c>
      <c r="EN85" s="35">
        <v>0</v>
      </c>
      <c r="EO85" s="35">
        <v>0.47</v>
      </c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6"/>
      <c r="FC85" s="35"/>
      <c r="FD85" s="35"/>
      <c r="FE85" s="35"/>
      <c r="FF85" s="35"/>
      <c r="FG85" s="35"/>
      <c r="FH85" s="35"/>
      <c r="FI85" s="35"/>
      <c r="FJ85" s="48"/>
      <c r="FK85" s="35"/>
      <c r="FL85" s="35"/>
      <c r="FM85" s="35"/>
      <c r="FN85" s="35"/>
      <c r="FO85" s="35"/>
      <c r="FP85" s="35"/>
      <c r="FQ85" s="35"/>
      <c r="FR85" s="35"/>
      <c r="FS85" s="35">
        <f t="shared" si="31"/>
        <v>0</v>
      </c>
      <c r="FT85" s="36"/>
      <c r="FU85" s="36"/>
      <c r="FV85" s="36"/>
      <c r="FW85" s="36"/>
      <c r="FX85" s="36"/>
      <c r="FY85" s="36"/>
      <c r="FZ85" s="36"/>
      <c r="GA85" s="48"/>
      <c r="GB85" s="36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6"/>
      <c r="HD85" s="36"/>
      <c r="HE85" s="36"/>
      <c r="HF85" s="36"/>
      <c r="HG85" s="36"/>
      <c r="HH85" s="36"/>
      <c r="HI85" s="36"/>
      <c r="HJ85" s="36"/>
      <c r="HK85" s="36"/>
      <c r="HL85" s="35">
        <v>0</v>
      </c>
      <c r="HM85" s="35">
        <v>0</v>
      </c>
      <c r="HN85" s="35">
        <v>0</v>
      </c>
      <c r="HO85" s="35">
        <v>0</v>
      </c>
      <c r="HP85" s="35">
        <v>0</v>
      </c>
      <c r="HQ85" s="35">
        <v>0</v>
      </c>
      <c r="HR85" s="35">
        <v>0</v>
      </c>
      <c r="HS85" s="35">
        <v>0</v>
      </c>
      <c r="HT85" s="36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49"/>
      <c r="IF85" s="50">
        <f t="shared" si="32"/>
        <v>0</v>
      </c>
      <c r="IG85" s="50">
        <f t="shared" si="33"/>
        <v>0</v>
      </c>
      <c r="IH85" s="50">
        <f t="shared" si="34"/>
        <v>0</v>
      </c>
      <c r="II85" s="50">
        <f t="shared" si="35"/>
        <v>0</v>
      </c>
      <c r="IJ85" s="50">
        <f t="shared" si="36"/>
        <v>0</v>
      </c>
      <c r="IK85" s="50">
        <f t="shared" si="18"/>
        <v>0</v>
      </c>
      <c r="IL85" s="50">
        <f t="shared" si="37"/>
        <v>0</v>
      </c>
      <c r="IM85" s="50">
        <f t="shared" si="37"/>
        <v>0</v>
      </c>
      <c r="IN85" s="47">
        <f t="shared" si="38"/>
        <v>3.1</v>
      </c>
      <c r="IO85" s="47">
        <f t="shared" si="39"/>
        <v>0</v>
      </c>
      <c r="IP85" s="47">
        <f t="shared" si="40"/>
        <v>0.3</v>
      </c>
      <c r="IQ85" s="47">
        <f t="shared" si="41"/>
        <v>0.23</v>
      </c>
      <c r="IR85" s="47">
        <f t="shared" si="42"/>
        <v>0</v>
      </c>
      <c r="IS85" s="47">
        <f t="shared" si="43"/>
        <v>2.5700000000000003</v>
      </c>
      <c r="IT85" s="47">
        <f t="shared" si="44"/>
        <v>0</v>
      </c>
      <c r="IU85" s="95">
        <f t="shared" si="45"/>
        <v>0</v>
      </c>
      <c r="IV85" s="36">
        <v>1.9</v>
      </c>
      <c r="IW85" s="52">
        <v>1</v>
      </c>
      <c r="IX85" s="48"/>
    </row>
    <row r="86" spans="1:258" s="5" customFormat="1" ht="15.95" customHeight="1">
      <c r="A86" s="6">
        <v>80</v>
      </c>
      <c r="B86" s="46" t="s">
        <v>157</v>
      </c>
      <c r="C86" s="46" t="s">
        <v>137</v>
      </c>
      <c r="D86" s="46" t="s">
        <v>158</v>
      </c>
      <c r="E86" s="36">
        <v>88</v>
      </c>
      <c r="F86" s="47"/>
      <c r="G86" s="47">
        <v>400</v>
      </c>
      <c r="H86" s="47"/>
      <c r="I86" s="47">
        <v>400</v>
      </c>
      <c r="J86" s="47">
        <v>0</v>
      </c>
      <c r="K86" s="47"/>
      <c r="L86" s="47"/>
      <c r="M86" s="47"/>
      <c r="N86" s="47"/>
      <c r="O86" s="36"/>
      <c r="P86" s="36">
        <v>400</v>
      </c>
      <c r="Q86" s="36">
        <v>0</v>
      </c>
      <c r="R86" s="50"/>
      <c r="S86" s="50"/>
      <c r="T86" s="50"/>
      <c r="U86" s="50"/>
      <c r="V86" s="34">
        <v>0</v>
      </c>
      <c r="W86" s="34">
        <v>0</v>
      </c>
      <c r="X86" s="34">
        <v>0</v>
      </c>
      <c r="Y86" s="34">
        <v>0</v>
      </c>
      <c r="Z86" s="34"/>
      <c r="AA86" s="34"/>
      <c r="AB86" s="34"/>
      <c r="AC86" s="34"/>
      <c r="AD86" s="34">
        <v>0</v>
      </c>
      <c r="AE86" s="34">
        <v>0</v>
      </c>
      <c r="AF86" s="34">
        <v>0</v>
      </c>
      <c r="AG86" s="34"/>
      <c r="AH86" s="34"/>
      <c r="AI86" s="47"/>
      <c r="AJ86" s="47"/>
      <c r="AK86" s="47">
        <v>510</v>
      </c>
      <c r="AL86" s="47">
        <v>0</v>
      </c>
      <c r="AM86" s="47">
        <v>160</v>
      </c>
      <c r="AN86" s="92">
        <v>60</v>
      </c>
      <c r="AO86" s="47">
        <v>0</v>
      </c>
      <c r="AP86" s="47">
        <v>290</v>
      </c>
      <c r="AQ86" s="96"/>
      <c r="AR86" s="96"/>
      <c r="AS86" s="36">
        <v>0</v>
      </c>
      <c r="AT86" s="36">
        <v>0</v>
      </c>
      <c r="AU86" s="93">
        <v>27</v>
      </c>
      <c r="AV86" s="50"/>
      <c r="AW86" s="50">
        <v>483</v>
      </c>
      <c r="AX86" s="92"/>
      <c r="AY86" s="92"/>
      <c r="AZ86" s="47">
        <v>80</v>
      </c>
      <c r="BA86" s="47"/>
      <c r="BB86" s="92">
        <v>80</v>
      </c>
      <c r="BC86" s="47">
        <v>0</v>
      </c>
      <c r="BD86" s="47">
        <v>0</v>
      </c>
      <c r="BE86" s="47">
        <v>0</v>
      </c>
      <c r="BF86" s="96"/>
      <c r="BG86" s="96"/>
      <c r="BH86" s="47"/>
      <c r="BI86" s="93">
        <v>80</v>
      </c>
      <c r="BJ86" s="93">
        <v>0</v>
      </c>
      <c r="BK86" s="36">
        <v>0</v>
      </c>
      <c r="BL86" s="36">
        <v>0</v>
      </c>
      <c r="BM86" s="93"/>
      <c r="BN86" s="93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5"/>
      <c r="BZ86" s="35"/>
      <c r="CA86" s="35"/>
      <c r="CB86" s="35"/>
      <c r="CC86" s="35"/>
      <c r="CD86" s="35"/>
      <c r="CE86" s="35"/>
      <c r="CF86" s="35"/>
      <c r="CG86" s="36">
        <v>1.7</v>
      </c>
      <c r="CH86" s="35">
        <v>0</v>
      </c>
      <c r="CI86" s="35">
        <v>0</v>
      </c>
      <c r="CJ86" s="35">
        <v>0.12</v>
      </c>
      <c r="CK86" s="35"/>
      <c r="CL86" s="35">
        <v>1.58</v>
      </c>
      <c r="CM86" s="51"/>
      <c r="CN86" s="51"/>
      <c r="CO86" s="51"/>
      <c r="CP86" s="51"/>
      <c r="CQ86" s="35">
        <v>4</v>
      </c>
      <c r="CR86" s="35">
        <v>3</v>
      </c>
      <c r="CS86" s="35">
        <v>0</v>
      </c>
      <c r="CT86" s="35">
        <v>0</v>
      </c>
      <c r="CU86" s="35">
        <v>0</v>
      </c>
      <c r="CV86" s="35">
        <v>1</v>
      </c>
      <c r="CW86" s="35"/>
      <c r="CX86" s="35"/>
      <c r="CY86" s="35"/>
      <c r="CZ86" s="36"/>
      <c r="DA86" s="35"/>
      <c r="DB86" s="35"/>
      <c r="DC86" s="35"/>
      <c r="DD86" s="35"/>
      <c r="DE86" s="35"/>
      <c r="DF86" s="35"/>
      <c r="DG86" s="35"/>
      <c r="DH86" s="35"/>
      <c r="DI86" s="36">
        <v>1</v>
      </c>
      <c r="DJ86" s="36">
        <v>4</v>
      </c>
      <c r="DK86" s="35">
        <v>4</v>
      </c>
      <c r="DL86" s="35">
        <v>0</v>
      </c>
      <c r="DM86" s="35">
        <v>0</v>
      </c>
      <c r="DN86" s="35">
        <v>0</v>
      </c>
      <c r="DO86" s="35">
        <v>0</v>
      </c>
      <c r="DP86" s="35"/>
      <c r="DQ86" s="35"/>
      <c r="DR86" s="35"/>
      <c r="DS86" s="36"/>
      <c r="DT86" s="36"/>
      <c r="DU86" s="36"/>
      <c r="DV86" s="36"/>
      <c r="DW86" s="36"/>
      <c r="DX86" s="36"/>
      <c r="DY86" s="36"/>
      <c r="DZ86" s="48"/>
      <c r="EA86" s="35"/>
      <c r="EB86" s="35"/>
      <c r="EC86" s="35"/>
      <c r="ED86" s="35"/>
      <c r="EE86" s="35"/>
      <c r="EF86" s="35"/>
      <c r="EG86" s="35"/>
      <c r="EH86" s="35"/>
      <c r="EI86" s="35"/>
      <c r="EJ86" s="35">
        <v>1</v>
      </c>
      <c r="EK86" s="35">
        <v>0</v>
      </c>
      <c r="EL86" s="35">
        <v>0.77</v>
      </c>
      <c r="EM86" s="35">
        <v>0</v>
      </c>
      <c r="EN86" s="35">
        <v>0</v>
      </c>
      <c r="EO86" s="35">
        <v>0.23</v>
      </c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6"/>
      <c r="FC86" s="35"/>
      <c r="FD86" s="35"/>
      <c r="FE86" s="35"/>
      <c r="FF86" s="35"/>
      <c r="FG86" s="35"/>
      <c r="FH86" s="35"/>
      <c r="FI86" s="35"/>
      <c r="FJ86" s="48"/>
      <c r="FK86" s="35">
        <v>400</v>
      </c>
      <c r="FL86" s="35">
        <v>0</v>
      </c>
      <c r="FM86" s="35">
        <v>0</v>
      </c>
      <c r="FN86" s="35">
        <v>400</v>
      </c>
      <c r="FO86" s="35"/>
      <c r="FP86" s="35">
        <v>0</v>
      </c>
      <c r="FQ86" s="35"/>
      <c r="FR86" s="35"/>
      <c r="FS86" s="35">
        <f t="shared" si="31"/>
        <v>0</v>
      </c>
      <c r="FT86" s="36"/>
      <c r="FU86" s="36"/>
      <c r="FV86" s="36"/>
      <c r="FW86" s="36"/>
      <c r="FX86" s="36"/>
      <c r="FY86" s="36"/>
      <c r="FZ86" s="36"/>
      <c r="GA86" s="48"/>
      <c r="GB86" s="36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6"/>
      <c r="HD86" s="36"/>
      <c r="HE86" s="36"/>
      <c r="HF86" s="36"/>
      <c r="HG86" s="36"/>
      <c r="HH86" s="36"/>
      <c r="HI86" s="36"/>
      <c r="HJ86" s="36"/>
      <c r="HK86" s="36"/>
      <c r="HL86" s="35">
        <v>1</v>
      </c>
      <c r="HM86" s="35">
        <v>0</v>
      </c>
      <c r="HN86" s="35">
        <v>0</v>
      </c>
      <c r="HO86" s="35">
        <v>0</v>
      </c>
      <c r="HP86" s="35">
        <v>0</v>
      </c>
      <c r="HQ86" s="35">
        <v>1</v>
      </c>
      <c r="HR86" s="35">
        <v>0</v>
      </c>
      <c r="HS86" s="35">
        <v>0</v>
      </c>
      <c r="HT86" s="36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49"/>
      <c r="IF86" s="50">
        <f t="shared" si="32"/>
        <v>1.7</v>
      </c>
      <c r="IG86" s="50">
        <f t="shared" si="33"/>
        <v>0</v>
      </c>
      <c r="IH86" s="50">
        <f t="shared" si="34"/>
        <v>0</v>
      </c>
      <c r="II86" s="50">
        <f t="shared" si="35"/>
        <v>0.12</v>
      </c>
      <c r="IJ86" s="50">
        <f t="shared" si="36"/>
        <v>0</v>
      </c>
      <c r="IK86" s="50">
        <f t="shared" si="18"/>
        <v>1.58</v>
      </c>
      <c r="IL86" s="50">
        <f t="shared" si="37"/>
        <v>0</v>
      </c>
      <c r="IM86" s="50">
        <f t="shared" si="37"/>
        <v>0</v>
      </c>
      <c r="IN86" s="47">
        <f t="shared" si="38"/>
        <v>5</v>
      </c>
      <c r="IO86" s="47">
        <f t="shared" si="39"/>
        <v>3</v>
      </c>
      <c r="IP86" s="47">
        <f t="shared" si="40"/>
        <v>0.77</v>
      </c>
      <c r="IQ86" s="47">
        <f t="shared" si="41"/>
        <v>0</v>
      </c>
      <c r="IR86" s="47">
        <f t="shared" si="42"/>
        <v>0</v>
      </c>
      <c r="IS86" s="47">
        <f t="shared" si="43"/>
        <v>1.23</v>
      </c>
      <c r="IT86" s="47">
        <f t="shared" si="44"/>
        <v>0</v>
      </c>
      <c r="IU86" s="95">
        <f t="shared" si="45"/>
        <v>0</v>
      </c>
      <c r="IV86" s="36">
        <v>9.6</v>
      </c>
      <c r="IW86" s="52">
        <v>1</v>
      </c>
      <c r="IX86" s="48"/>
    </row>
    <row r="87" spans="1:258" s="5" customFormat="1" ht="15.95" customHeight="1">
      <c r="A87" s="6">
        <v>81</v>
      </c>
      <c r="B87" s="46" t="s">
        <v>159</v>
      </c>
      <c r="C87" s="46" t="s">
        <v>137</v>
      </c>
      <c r="D87" s="46" t="s">
        <v>158</v>
      </c>
      <c r="E87" s="36">
        <v>72.2</v>
      </c>
      <c r="F87" s="47"/>
      <c r="G87" s="47">
        <v>400</v>
      </c>
      <c r="H87" s="47"/>
      <c r="I87" s="47">
        <v>400</v>
      </c>
      <c r="J87" s="47">
        <v>0</v>
      </c>
      <c r="K87" s="47"/>
      <c r="L87" s="47"/>
      <c r="M87" s="47"/>
      <c r="N87" s="47"/>
      <c r="O87" s="36"/>
      <c r="P87" s="36">
        <v>400</v>
      </c>
      <c r="Q87" s="36">
        <v>0</v>
      </c>
      <c r="R87" s="50"/>
      <c r="S87" s="50"/>
      <c r="T87" s="50"/>
      <c r="U87" s="50"/>
      <c r="V87" s="34">
        <v>400</v>
      </c>
      <c r="W87" s="34">
        <v>0</v>
      </c>
      <c r="X87" s="34">
        <v>0</v>
      </c>
      <c r="Y87" s="34">
        <v>400</v>
      </c>
      <c r="Z87" s="34"/>
      <c r="AA87" s="34"/>
      <c r="AB87" s="34"/>
      <c r="AC87" s="34"/>
      <c r="AD87" s="34">
        <v>0</v>
      </c>
      <c r="AE87" s="34">
        <v>0</v>
      </c>
      <c r="AF87" s="34">
        <v>0</v>
      </c>
      <c r="AG87" s="34">
        <v>400</v>
      </c>
      <c r="AH87" s="34"/>
      <c r="AI87" s="47"/>
      <c r="AJ87" s="47"/>
      <c r="AK87" s="47">
        <v>265</v>
      </c>
      <c r="AL87" s="47">
        <v>0</v>
      </c>
      <c r="AM87" s="47">
        <v>65</v>
      </c>
      <c r="AN87" s="92">
        <v>100</v>
      </c>
      <c r="AO87" s="47">
        <v>0</v>
      </c>
      <c r="AP87" s="47">
        <v>100</v>
      </c>
      <c r="AQ87" s="96"/>
      <c r="AR87" s="96"/>
      <c r="AS87" s="36">
        <v>0</v>
      </c>
      <c r="AT87" s="36">
        <v>0</v>
      </c>
      <c r="AU87" s="93">
        <v>45</v>
      </c>
      <c r="AV87" s="50"/>
      <c r="AW87" s="50">
        <v>220</v>
      </c>
      <c r="AX87" s="92"/>
      <c r="AY87" s="92"/>
      <c r="AZ87" s="47">
        <v>0</v>
      </c>
      <c r="BA87" s="47"/>
      <c r="BB87" s="92">
        <v>0</v>
      </c>
      <c r="BC87" s="47">
        <v>0</v>
      </c>
      <c r="BD87" s="47">
        <v>0</v>
      </c>
      <c r="BE87" s="47">
        <v>0</v>
      </c>
      <c r="BF87" s="96"/>
      <c r="BG87" s="96"/>
      <c r="BH87" s="47"/>
      <c r="BI87" s="93">
        <v>0</v>
      </c>
      <c r="BJ87" s="93">
        <v>0</v>
      </c>
      <c r="BK87" s="36">
        <v>0</v>
      </c>
      <c r="BL87" s="36">
        <v>0</v>
      </c>
      <c r="BM87" s="93"/>
      <c r="BN87" s="93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5"/>
      <c r="BZ87" s="35"/>
      <c r="CA87" s="35"/>
      <c r="CB87" s="35"/>
      <c r="CC87" s="35"/>
      <c r="CD87" s="35"/>
      <c r="CE87" s="35"/>
      <c r="CF87" s="35"/>
      <c r="CG87" s="36"/>
      <c r="CH87" s="35"/>
      <c r="CI87" s="35"/>
      <c r="CJ87" s="35"/>
      <c r="CK87" s="35"/>
      <c r="CL87" s="35"/>
      <c r="CM87" s="51"/>
      <c r="CN87" s="51"/>
      <c r="CO87" s="51"/>
      <c r="CP87" s="51"/>
      <c r="CQ87" s="35">
        <v>6.8</v>
      </c>
      <c r="CR87" s="35">
        <v>5</v>
      </c>
      <c r="CS87" s="35">
        <v>0</v>
      </c>
      <c r="CT87" s="35">
        <v>5.95</v>
      </c>
      <c r="CU87" s="35">
        <v>0</v>
      </c>
      <c r="CV87" s="35"/>
      <c r="CW87" s="35"/>
      <c r="CX87" s="35"/>
      <c r="CY87" s="35"/>
      <c r="CZ87" s="36"/>
      <c r="DA87" s="35"/>
      <c r="DB87" s="35"/>
      <c r="DC87" s="35"/>
      <c r="DD87" s="35"/>
      <c r="DE87" s="35"/>
      <c r="DF87" s="35"/>
      <c r="DG87" s="35"/>
      <c r="DH87" s="35"/>
      <c r="DI87" s="36">
        <v>3</v>
      </c>
      <c r="DJ87" s="36">
        <v>8</v>
      </c>
      <c r="DK87" s="35">
        <v>4</v>
      </c>
      <c r="DL87" s="35">
        <v>0</v>
      </c>
      <c r="DM87" s="35">
        <v>3</v>
      </c>
      <c r="DN87" s="35">
        <v>0</v>
      </c>
      <c r="DO87" s="35">
        <v>1</v>
      </c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48"/>
      <c r="EA87" s="35"/>
      <c r="EB87" s="35"/>
      <c r="EC87" s="35"/>
      <c r="ED87" s="35"/>
      <c r="EE87" s="35"/>
      <c r="EF87" s="35"/>
      <c r="EG87" s="35"/>
      <c r="EH87" s="35"/>
      <c r="EI87" s="35"/>
      <c r="EJ87" s="35">
        <v>1</v>
      </c>
      <c r="EK87" s="35">
        <v>0</v>
      </c>
      <c r="EL87" s="35">
        <v>0.43</v>
      </c>
      <c r="EM87" s="35">
        <v>0.2</v>
      </c>
      <c r="EN87" s="35">
        <v>0.27</v>
      </c>
      <c r="EO87" s="35">
        <v>0.1</v>
      </c>
      <c r="EP87" s="35"/>
      <c r="EQ87" s="35"/>
      <c r="ER87" s="35"/>
      <c r="ES87" s="35">
        <f>(550*10)/10000</f>
        <v>0.55000000000000004</v>
      </c>
      <c r="ET87" s="35">
        <v>0</v>
      </c>
      <c r="EU87" s="35">
        <v>0</v>
      </c>
      <c r="EV87" s="35">
        <v>0.11</v>
      </c>
      <c r="EW87" s="35">
        <v>0</v>
      </c>
      <c r="EX87" s="35">
        <v>0.44</v>
      </c>
      <c r="EY87" s="35"/>
      <c r="EZ87" s="35"/>
      <c r="FA87" s="35"/>
      <c r="FB87" s="36"/>
      <c r="FC87" s="35"/>
      <c r="FD87" s="35"/>
      <c r="FE87" s="35"/>
      <c r="FF87" s="35"/>
      <c r="FG87" s="35"/>
      <c r="FH87" s="35"/>
      <c r="FI87" s="35"/>
      <c r="FJ87" s="48"/>
      <c r="FK87" s="35">
        <v>200</v>
      </c>
      <c r="FL87" s="35">
        <v>0</v>
      </c>
      <c r="FM87" s="35">
        <v>0</v>
      </c>
      <c r="FN87" s="35">
        <v>0</v>
      </c>
      <c r="FO87" s="35"/>
      <c r="FP87" s="35">
        <v>200</v>
      </c>
      <c r="FQ87" s="35"/>
      <c r="FR87" s="35"/>
      <c r="FS87" s="35">
        <f t="shared" si="31"/>
        <v>0</v>
      </c>
      <c r="FT87" s="36"/>
      <c r="FU87" s="36"/>
      <c r="FV87" s="36"/>
      <c r="FW87" s="36"/>
      <c r="FX87" s="36"/>
      <c r="FY87" s="36"/>
      <c r="FZ87" s="36"/>
      <c r="GA87" s="48"/>
      <c r="GB87" s="36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6"/>
      <c r="HD87" s="36"/>
      <c r="HE87" s="36"/>
      <c r="HF87" s="36"/>
      <c r="HG87" s="36"/>
      <c r="HH87" s="36"/>
      <c r="HI87" s="36"/>
      <c r="HJ87" s="36"/>
      <c r="HK87" s="36"/>
      <c r="HL87" s="35">
        <v>1</v>
      </c>
      <c r="HM87" s="35">
        <v>0</v>
      </c>
      <c r="HN87" s="35">
        <v>0</v>
      </c>
      <c r="HO87" s="35">
        <v>0</v>
      </c>
      <c r="HP87" s="35">
        <v>0</v>
      </c>
      <c r="HQ87" s="35">
        <v>0</v>
      </c>
      <c r="HR87" s="35">
        <v>0</v>
      </c>
      <c r="HS87" s="35">
        <v>1</v>
      </c>
      <c r="HT87" s="36"/>
      <c r="HU87" s="35"/>
      <c r="HV87" s="35"/>
      <c r="HW87" s="35"/>
      <c r="HX87" s="35"/>
      <c r="HY87" s="35"/>
      <c r="HZ87" s="35"/>
      <c r="IA87" s="35"/>
      <c r="IB87" s="35"/>
      <c r="IC87" s="35"/>
      <c r="ID87" s="35">
        <v>1</v>
      </c>
      <c r="IE87" s="49"/>
      <c r="IF87" s="50">
        <f t="shared" si="32"/>
        <v>0</v>
      </c>
      <c r="IG87" s="50">
        <f t="shared" si="33"/>
        <v>0</v>
      </c>
      <c r="IH87" s="50">
        <f t="shared" si="34"/>
        <v>0</v>
      </c>
      <c r="II87" s="50">
        <f t="shared" si="35"/>
        <v>0</v>
      </c>
      <c r="IJ87" s="50">
        <f t="shared" si="36"/>
        <v>0</v>
      </c>
      <c r="IK87" s="50">
        <f t="shared" si="18"/>
        <v>0</v>
      </c>
      <c r="IL87" s="50">
        <f t="shared" si="37"/>
        <v>0</v>
      </c>
      <c r="IM87" s="50">
        <f t="shared" si="37"/>
        <v>0</v>
      </c>
      <c r="IN87" s="47">
        <f t="shared" si="38"/>
        <v>8.35</v>
      </c>
      <c r="IO87" s="47">
        <f t="shared" si="39"/>
        <v>5</v>
      </c>
      <c r="IP87" s="47">
        <f t="shared" si="40"/>
        <v>0.43</v>
      </c>
      <c r="IQ87" s="47">
        <f t="shared" si="41"/>
        <v>6.2600000000000007</v>
      </c>
      <c r="IR87" s="47">
        <f t="shared" si="42"/>
        <v>0.27</v>
      </c>
      <c r="IS87" s="47">
        <f t="shared" si="43"/>
        <v>0.54</v>
      </c>
      <c r="IT87" s="47">
        <f t="shared" si="44"/>
        <v>0</v>
      </c>
      <c r="IU87" s="95">
        <f t="shared" si="45"/>
        <v>0</v>
      </c>
      <c r="IV87" s="36">
        <v>7</v>
      </c>
      <c r="IW87" s="52">
        <v>1</v>
      </c>
      <c r="IX87" s="48"/>
    </row>
    <row r="88" spans="1:258" s="5" customFormat="1" ht="15.95" customHeight="1">
      <c r="A88" s="12">
        <v>82</v>
      </c>
      <c r="B88" s="46" t="s">
        <v>160</v>
      </c>
      <c r="C88" s="46" t="s">
        <v>137</v>
      </c>
      <c r="D88" s="46" t="s">
        <v>158</v>
      </c>
      <c r="E88" s="36">
        <v>62.8</v>
      </c>
      <c r="F88" s="47"/>
      <c r="G88" s="47">
        <v>0</v>
      </c>
      <c r="H88" s="47"/>
      <c r="I88" s="47">
        <v>0</v>
      </c>
      <c r="J88" s="47">
        <v>0</v>
      </c>
      <c r="K88" s="47"/>
      <c r="L88" s="47"/>
      <c r="M88" s="47"/>
      <c r="N88" s="47"/>
      <c r="O88" s="36"/>
      <c r="P88" s="36">
        <v>0</v>
      </c>
      <c r="Q88" s="36">
        <v>0</v>
      </c>
      <c r="R88" s="50"/>
      <c r="S88" s="50"/>
      <c r="T88" s="50"/>
      <c r="U88" s="50"/>
      <c r="V88" s="34">
        <v>0</v>
      </c>
      <c r="W88" s="34">
        <v>0</v>
      </c>
      <c r="X88" s="34">
        <v>0</v>
      </c>
      <c r="Y88" s="34">
        <v>0</v>
      </c>
      <c r="Z88" s="34"/>
      <c r="AA88" s="34"/>
      <c r="AB88" s="34"/>
      <c r="AC88" s="34"/>
      <c r="AD88" s="34">
        <v>0</v>
      </c>
      <c r="AE88" s="34">
        <v>0</v>
      </c>
      <c r="AF88" s="34">
        <v>0</v>
      </c>
      <c r="AG88" s="34"/>
      <c r="AH88" s="34"/>
      <c r="AI88" s="47"/>
      <c r="AJ88" s="47"/>
      <c r="AK88" s="47">
        <v>220</v>
      </c>
      <c r="AL88" s="47">
        <v>0</v>
      </c>
      <c r="AM88" s="47">
        <v>70</v>
      </c>
      <c r="AN88" s="92">
        <v>30</v>
      </c>
      <c r="AO88" s="47">
        <v>0</v>
      </c>
      <c r="AP88" s="47">
        <v>120</v>
      </c>
      <c r="AQ88" s="96"/>
      <c r="AR88" s="96"/>
      <c r="AS88" s="36">
        <v>0</v>
      </c>
      <c r="AT88" s="36">
        <v>0</v>
      </c>
      <c r="AU88" s="93">
        <v>70</v>
      </c>
      <c r="AV88" s="50"/>
      <c r="AW88" s="50">
        <v>150</v>
      </c>
      <c r="AX88" s="92"/>
      <c r="AY88" s="92"/>
      <c r="AZ88" s="47">
        <v>0</v>
      </c>
      <c r="BA88" s="47"/>
      <c r="BB88" s="92">
        <v>0</v>
      </c>
      <c r="BC88" s="47">
        <v>0</v>
      </c>
      <c r="BD88" s="47">
        <v>0</v>
      </c>
      <c r="BE88" s="47">
        <v>0</v>
      </c>
      <c r="BF88" s="96"/>
      <c r="BG88" s="96"/>
      <c r="BH88" s="47"/>
      <c r="BI88" s="93">
        <v>0</v>
      </c>
      <c r="BJ88" s="93">
        <v>0</v>
      </c>
      <c r="BK88" s="36">
        <v>0</v>
      </c>
      <c r="BL88" s="36">
        <v>0</v>
      </c>
      <c r="BM88" s="93"/>
      <c r="BN88" s="93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5"/>
      <c r="BZ88" s="35"/>
      <c r="CA88" s="35"/>
      <c r="CB88" s="35"/>
      <c r="CC88" s="35"/>
      <c r="CD88" s="35"/>
      <c r="CE88" s="35"/>
      <c r="CF88" s="35"/>
      <c r="CG88" s="36"/>
      <c r="CH88" s="35"/>
      <c r="CI88" s="35"/>
      <c r="CJ88" s="35"/>
      <c r="CK88" s="35"/>
      <c r="CL88" s="35"/>
      <c r="CM88" s="51"/>
      <c r="CN88" s="51"/>
      <c r="CO88" s="51"/>
      <c r="CP88" s="51"/>
      <c r="CQ88" s="35">
        <v>10.3</v>
      </c>
      <c r="CR88" s="35">
        <v>17</v>
      </c>
      <c r="CS88" s="35">
        <v>0</v>
      </c>
      <c r="CT88" s="35">
        <v>0</v>
      </c>
      <c r="CU88" s="35">
        <v>0</v>
      </c>
      <c r="CV88" s="35">
        <v>0</v>
      </c>
      <c r="CW88" s="35"/>
      <c r="CX88" s="35"/>
      <c r="CY88" s="35"/>
      <c r="CZ88" s="36"/>
      <c r="DA88" s="35"/>
      <c r="DB88" s="35"/>
      <c r="DC88" s="35"/>
      <c r="DD88" s="35"/>
      <c r="DE88" s="35"/>
      <c r="DF88" s="35"/>
      <c r="DG88" s="35"/>
      <c r="DH88" s="35"/>
      <c r="DI88" s="36">
        <v>2</v>
      </c>
      <c r="DJ88" s="36">
        <v>5</v>
      </c>
      <c r="DK88" s="35">
        <v>5</v>
      </c>
      <c r="DL88" s="35">
        <v>0</v>
      </c>
      <c r="DM88" s="35">
        <v>0</v>
      </c>
      <c r="DN88" s="35">
        <v>0</v>
      </c>
      <c r="DO88" s="35">
        <v>0</v>
      </c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48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6"/>
      <c r="FC88" s="35"/>
      <c r="FD88" s="35"/>
      <c r="FE88" s="35"/>
      <c r="FF88" s="35"/>
      <c r="FG88" s="35"/>
      <c r="FH88" s="35"/>
      <c r="FI88" s="35"/>
      <c r="FJ88" s="48"/>
      <c r="FK88" s="35">
        <v>600</v>
      </c>
      <c r="FL88" s="35">
        <v>0</v>
      </c>
      <c r="FM88" s="35">
        <v>0</v>
      </c>
      <c r="FN88" s="35"/>
      <c r="FO88" s="35"/>
      <c r="FP88" s="35">
        <v>600</v>
      </c>
      <c r="FQ88" s="35"/>
      <c r="FR88" s="35"/>
      <c r="FS88" s="35">
        <f t="shared" si="31"/>
        <v>0</v>
      </c>
      <c r="FT88" s="36"/>
      <c r="FU88" s="36"/>
      <c r="FV88" s="36"/>
      <c r="FW88" s="36"/>
      <c r="FX88" s="36"/>
      <c r="FY88" s="36"/>
      <c r="FZ88" s="36"/>
      <c r="GA88" s="48"/>
      <c r="GB88" s="36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6"/>
      <c r="HD88" s="36"/>
      <c r="HE88" s="36"/>
      <c r="HF88" s="36"/>
      <c r="HG88" s="36"/>
      <c r="HH88" s="36"/>
      <c r="HI88" s="36"/>
      <c r="HJ88" s="36"/>
      <c r="HK88" s="36"/>
      <c r="HL88" s="35"/>
      <c r="HM88" s="35"/>
      <c r="HN88" s="35"/>
      <c r="HO88" s="35"/>
      <c r="HP88" s="35"/>
      <c r="HQ88" s="35"/>
      <c r="HR88" s="35">
        <v>0</v>
      </c>
      <c r="HS88" s="35">
        <v>0</v>
      </c>
      <c r="HT88" s="36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49"/>
      <c r="IF88" s="50">
        <f t="shared" si="32"/>
        <v>0</v>
      </c>
      <c r="IG88" s="50">
        <f t="shared" si="33"/>
        <v>0</v>
      </c>
      <c r="IH88" s="50">
        <f t="shared" si="34"/>
        <v>0</v>
      </c>
      <c r="II88" s="50">
        <f t="shared" si="35"/>
        <v>0</v>
      </c>
      <c r="IJ88" s="50">
        <f t="shared" si="36"/>
        <v>0</v>
      </c>
      <c r="IK88" s="50">
        <f t="shared" si="18"/>
        <v>0</v>
      </c>
      <c r="IL88" s="50">
        <f t="shared" si="37"/>
        <v>0</v>
      </c>
      <c r="IM88" s="50">
        <f t="shared" si="37"/>
        <v>0</v>
      </c>
      <c r="IN88" s="47">
        <f t="shared" si="38"/>
        <v>10.3</v>
      </c>
      <c r="IO88" s="47">
        <f t="shared" si="39"/>
        <v>17</v>
      </c>
      <c r="IP88" s="47">
        <f t="shared" si="40"/>
        <v>0</v>
      </c>
      <c r="IQ88" s="47">
        <f t="shared" si="41"/>
        <v>0</v>
      </c>
      <c r="IR88" s="47">
        <f t="shared" si="42"/>
        <v>0</v>
      </c>
      <c r="IS88" s="47">
        <f t="shared" si="43"/>
        <v>0</v>
      </c>
      <c r="IT88" s="47">
        <f t="shared" si="44"/>
        <v>0</v>
      </c>
      <c r="IU88" s="95">
        <f t="shared" si="45"/>
        <v>0</v>
      </c>
      <c r="IV88" s="36">
        <v>6.5</v>
      </c>
      <c r="IW88" s="52">
        <v>1</v>
      </c>
      <c r="IX88" s="48"/>
    </row>
    <row r="89" spans="1:258" s="5" customFormat="1" ht="15.95" customHeight="1">
      <c r="A89" s="6">
        <v>83</v>
      </c>
      <c r="B89" s="46" t="s">
        <v>161</v>
      </c>
      <c r="C89" s="46" t="s">
        <v>137</v>
      </c>
      <c r="D89" s="46" t="s">
        <v>158</v>
      </c>
      <c r="E89" s="36">
        <v>11.2</v>
      </c>
      <c r="F89" s="47"/>
      <c r="G89" s="47">
        <v>200</v>
      </c>
      <c r="H89" s="47"/>
      <c r="I89" s="47">
        <v>200</v>
      </c>
      <c r="J89" s="47">
        <v>0</v>
      </c>
      <c r="K89" s="47"/>
      <c r="L89" s="47"/>
      <c r="M89" s="47"/>
      <c r="N89" s="47"/>
      <c r="O89" s="36"/>
      <c r="P89" s="36">
        <v>200</v>
      </c>
      <c r="Q89" s="36">
        <v>0</v>
      </c>
      <c r="R89" s="50"/>
      <c r="S89" s="50"/>
      <c r="T89" s="50"/>
      <c r="U89" s="50"/>
      <c r="V89" s="34">
        <v>0</v>
      </c>
      <c r="W89" s="34">
        <v>0</v>
      </c>
      <c r="X89" s="34">
        <v>0</v>
      </c>
      <c r="Y89" s="34">
        <v>0</v>
      </c>
      <c r="Z89" s="34"/>
      <c r="AA89" s="34"/>
      <c r="AB89" s="34"/>
      <c r="AC89" s="34"/>
      <c r="AD89" s="34">
        <v>0</v>
      </c>
      <c r="AE89" s="34">
        <v>0</v>
      </c>
      <c r="AF89" s="34">
        <v>0</v>
      </c>
      <c r="AG89" s="34"/>
      <c r="AH89" s="34"/>
      <c r="AI89" s="47"/>
      <c r="AJ89" s="47"/>
      <c r="AK89" s="47">
        <v>667</v>
      </c>
      <c r="AL89" s="47">
        <v>0</v>
      </c>
      <c r="AM89" s="47">
        <v>202</v>
      </c>
      <c r="AN89" s="92">
        <v>95</v>
      </c>
      <c r="AO89" s="47">
        <v>0</v>
      </c>
      <c r="AP89" s="47">
        <v>370</v>
      </c>
      <c r="AQ89" s="96"/>
      <c r="AR89" s="96"/>
      <c r="AS89" s="36">
        <v>0</v>
      </c>
      <c r="AT89" s="36">
        <v>0</v>
      </c>
      <c r="AU89" s="93">
        <v>102</v>
      </c>
      <c r="AV89" s="50"/>
      <c r="AW89" s="50">
        <v>565</v>
      </c>
      <c r="AX89" s="92"/>
      <c r="AY89" s="92"/>
      <c r="AZ89" s="47">
        <v>0</v>
      </c>
      <c r="BA89" s="47"/>
      <c r="BB89" s="92">
        <v>0</v>
      </c>
      <c r="BC89" s="47">
        <v>0</v>
      </c>
      <c r="BD89" s="47">
        <v>0</v>
      </c>
      <c r="BE89" s="47">
        <v>0</v>
      </c>
      <c r="BF89" s="96"/>
      <c r="BG89" s="96"/>
      <c r="BH89" s="47"/>
      <c r="BI89" s="93">
        <v>0</v>
      </c>
      <c r="BJ89" s="93">
        <v>0</v>
      </c>
      <c r="BK89" s="36">
        <v>0</v>
      </c>
      <c r="BL89" s="36">
        <v>0</v>
      </c>
      <c r="BM89" s="93"/>
      <c r="BN89" s="93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5"/>
      <c r="BZ89" s="35"/>
      <c r="CA89" s="35"/>
      <c r="CB89" s="35"/>
      <c r="CC89" s="35"/>
      <c r="CD89" s="35"/>
      <c r="CE89" s="35"/>
      <c r="CF89" s="35"/>
      <c r="CG89" s="36"/>
      <c r="CH89" s="35"/>
      <c r="CI89" s="35"/>
      <c r="CJ89" s="35"/>
      <c r="CK89" s="35"/>
      <c r="CL89" s="35"/>
      <c r="CM89" s="51"/>
      <c r="CN89" s="51"/>
      <c r="CO89" s="51"/>
      <c r="CP89" s="51"/>
      <c r="CQ89" s="35">
        <v>1.5</v>
      </c>
      <c r="CR89" s="35">
        <v>0</v>
      </c>
      <c r="CS89" s="35">
        <v>1.5</v>
      </c>
      <c r="CT89" s="35">
        <v>0</v>
      </c>
      <c r="CU89" s="35">
        <v>0</v>
      </c>
      <c r="CV89" s="35">
        <v>0</v>
      </c>
      <c r="CW89" s="35"/>
      <c r="CX89" s="35"/>
      <c r="CY89" s="35"/>
      <c r="CZ89" s="36"/>
      <c r="DA89" s="35"/>
      <c r="DB89" s="35"/>
      <c r="DC89" s="35"/>
      <c r="DD89" s="35"/>
      <c r="DE89" s="35"/>
      <c r="DF89" s="35"/>
      <c r="DG89" s="35"/>
      <c r="DH89" s="35"/>
      <c r="DI89" s="36">
        <v>4</v>
      </c>
      <c r="DJ89" s="36">
        <v>8</v>
      </c>
      <c r="DK89" s="35">
        <v>4</v>
      </c>
      <c r="DL89" s="35">
        <v>2</v>
      </c>
      <c r="DM89" s="35">
        <v>1</v>
      </c>
      <c r="DN89" s="35">
        <v>0</v>
      </c>
      <c r="DO89" s="35">
        <v>1</v>
      </c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48"/>
      <c r="EA89" s="35"/>
      <c r="EB89" s="35"/>
      <c r="EC89" s="35"/>
      <c r="ED89" s="35"/>
      <c r="EE89" s="35"/>
      <c r="EF89" s="35"/>
      <c r="EG89" s="35"/>
      <c r="EH89" s="35"/>
      <c r="EI89" s="35"/>
      <c r="EJ89" s="35">
        <v>1</v>
      </c>
      <c r="EK89" s="35">
        <v>0</v>
      </c>
      <c r="EL89" s="35">
        <v>0.33</v>
      </c>
      <c r="EM89" s="35">
        <v>0</v>
      </c>
      <c r="EN89" s="35">
        <v>0</v>
      </c>
      <c r="EO89" s="35">
        <v>0.67</v>
      </c>
      <c r="EP89" s="35"/>
      <c r="EQ89" s="35"/>
      <c r="ER89" s="35"/>
      <c r="ES89" s="35">
        <v>0.2</v>
      </c>
      <c r="ET89" s="35">
        <v>0</v>
      </c>
      <c r="EU89" s="35">
        <v>0</v>
      </c>
      <c r="EV89" s="35">
        <v>7.6399999999999996E-2</v>
      </c>
      <c r="EW89" s="35">
        <v>0</v>
      </c>
      <c r="EX89" s="35">
        <v>0.124</v>
      </c>
      <c r="EY89" s="35"/>
      <c r="EZ89" s="35"/>
      <c r="FA89" s="35"/>
      <c r="FB89" s="36"/>
      <c r="FC89" s="35"/>
      <c r="FD89" s="35"/>
      <c r="FE89" s="35"/>
      <c r="FF89" s="35"/>
      <c r="FG89" s="35"/>
      <c r="FH89" s="35"/>
      <c r="FI89" s="35"/>
      <c r="FJ89" s="48"/>
      <c r="FK89" s="35">
        <v>500</v>
      </c>
      <c r="FL89" s="35">
        <v>0</v>
      </c>
      <c r="FM89" s="35">
        <v>300</v>
      </c>
      <c r="FN89" s="35">
        <v>100</v>
      </c>
      <c r="FO89" s="35"/>
      <c r="FP89" s="35">
        <v>100</v>
      </c>
      <c r="FQ89" s="35"/>
      <c r="FR89" s="35"/>
      <c r="FS89" s="35">
        <f t="shared" si="31"/>
        <v>0</v>
      </c>
      <c r="FT89" s="36"/>
      <c r="FU89" s="36"/>
      <c r="FV89" s="36"/>
      <c r="FW89" s="36"/>
      <c r="FX89" s="36"/>
      <c r="FY89" s="36"/>
      <c r="FZ89" s="36"/>
      <c r="GA89" s="48"/>
      <c r="GB89" s="36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6"/>
      <c r="HD89" s="36"/>
      <c r="HE89" s="36"/>
      <c r="HF89" s="36"/>
      <c r="HG89" s="36"/>
      <c r="HH89" s="36"/>
      <c r="HI89" s="36"/>
      <c r="HJ89" s="36"/>
      <c r="HK89" s="36"/>
      <c r="HL89" s="35">
        <v>1</v>
      </c>
      <c r="HM89" s="35">
        <v>0</v>
      </c>
      <c r="HN89" s="35">
        <v>0</v>
      </c>
      <c r="HO89" s="35">
        <v>0</v>
      </c>
      <c r="HP89" s="35">
        <v>0</v>
      </c>
      <c r="HQ89" s="35">
        <v>0</v>
      </c>
      <c r="HR89" s="35">
        <v>0</v>
      </c>
      <c r="HS89" s="35">
        <v>1</v>
      </c>
      <c r="HT89" s="36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49"/>
      <c r="IF89" s="50">
        <f t="shared" si="32"/>
        <v>0</v>
      </c>
      <c r="IG89" s="50">
        <f t="shared" si="33"/>
        <v>0</v>
      </c>
      <c r="IH89" s="50">
        <f t="shared" si="34"/>
        <v>0</v>
      </c>
      <c r="II89" s="50">
        <f t="shared" si="35"/>
        <v>0</v>
      </c>
      <c r="IJ89" s="50">
        <f t="shared" si="36"/>
        <v>0</v>
      </c>
      <c r="IK89" s="50">
        <f t="shared" si="18"/>
        <v>0</v>
      </c>
      <c r="IL89" s="50">
        <f t="shared" si="37"/>
        <v>0</v>
      </c>
      <c r="IM89" s="50">
        <f t="shared" si="37"/>
        <v>0</v>
      </c>
      <c r="IN89" s="47">
        <f t="shared" si="38"/>
        <v>2.7</v>
      </c>
      <c r="IO89" s="47">
        <f t="shared" si="39"/>
        <v>0</v>
      </c>
      <c r="IP89" s="47">
        <f t="shared" si="40"/>
        <v>1.83</v>
      </c>
      <c r="IQ89" s="47">
        <f t="shared" si="41"/>
        <v>7.6399999999999996E-2</v>
      </c>
      <c r="IR89" s="47">
        <f t="shared" si="42"/>
        <v>0</v>
      </c>
      <c r="IS89" s="47">
        <f t="shared" si="43"/>
        <v>0.79400000000000004</v>
      </c>
      <c r="IT89" s="47">
        <f t="shared" si="44"/>
        <v>0</v>
      </c>
      <c r="IU89" s="95">
        <f t="shared" si="45"/>
        <v>0</v>
      </c>
      <c r="IV89" s="36">
        <v>3.6</v>
      </c>
      <c r="IW89" s="52">
        <v>1</v>
      </c>
      <c r="IX89" s="48"/>
    </row>
    <row r="90" spans="1:258" s="5" customFormat="1" ht="15.95" customHeight="1">
      <c r="A90" s="6">
        <v>84</v>
      </c>
      <c r="B90" s="46" t="s">
        <v>162</v>
      </c>
      <c r="C90" s="48" t="s">
        <v>137</v>
      </c>
      <c r="D90" s="48" t="s">
        <v>158</v>
      </c>
      <c r="E90" s="36">
        <v>66</v>
      </c>
      <c r="F90" s="47"/>
      <c r="G90" s="47">
        <v>200</v>
      </c>
      <c r="H90" s="47"/>
      <c r="I90" s="47">
        <v>200</v>
      </c>
      <c r="J90" s="47">
        <v>0</v>
      </c>
      <c r="K90" s="47"/>
      <c r="L90" s="47"/>
      <c r="M90" s="47"/>
      <c r="N90" s="47"/>
      <c r="O90" s="36"/>
      <c r="P90" s="36">
        <v>200</v>
      </c>
      <c r="Q90" s="36">
        <v>0</v>
      </c>
      <c r="R90" s="50"/>
      <c r="S90" s="50"/>
      <c r="T90" s="50"/>
      <c r="U90" s="50"/>
      <c r="V90" s="34">
        <v>0</v>
      </c>
      <c r="W90" s="34">
        <v>0</v>
      </c>
      <c r="X90" s="34">
        <v>0</v>
      </c>
      <c r="Y90" s="34">
        <v>0</v>
      </c>
      <c r="Z90" s="34"/>
      <c r="AA90" s="34"/>
      <c r="AB90" s="34"/>
      <c r="AC90" s="34"/>
      <c r="AD90" s="34">
        <v>0</v>
      </c>
      <c r="AE90" s="34">
        <v>0</v>
      </c>
      <c r="AF90" s="34">
        <v>0</v>
      </c>
      <c r="AG90" s="34"/>
      <c r="AH90" s="34"/>
      <c r="AI90" s="47"/>
      <c r="AJ90" s="47"/>
      <c r="AK90" s="47">
        <v>200</v>
      </c>
      <c r="AL90" s="47">
        <v>0</v>
      </c>
      <c r="AM90" s="47">
        <v>0</v>
      </c>
      <c r="AN90" s="92">
        <v>0</v>
      </c>
      <c r="AO90" s="47">
        <v>0</v>
      </c>
      <c r="AP90" s="47">
        <v>200</v>
      </c>
      <c r="AQ90" s="96"/>
      <c r="AR90" s="96"/>
      <c r="AS90" s="36">
        <v>0</v>
      </c>
      <c r="AT90" s="36">
        <v>0</v>
      </c>
      <c r="AU90" s="93">
        <v>0</v>
      </c>
      <c r="AV90" s="50"/>
      <c r="AW90" s="50">
        <v>200</v>
      </c>
      <c r="AX90" s="92"/>
      <c r="AY90" s="92"/>
      <c r="AZ90" s="47">
        <v>0</v>
      </c>
      <c r="BA90" s="47"/>
      <c r="BB90" s="92">
        <v>0</v>
      </c>
      <c r="BC90" s="47">
        <v>0</v>
      </c>
      <c r="BD90" s="47">
        <v>0</v>
      </c>
      <c r="BE90" s="47">
        <v>0</v>
      </c>
      <c r="BF90" s="96"/>
      <c r="BG90" s="96"/>
      <c r="BH90" s="47"/>
      <c r="BI90" s="93">
        <v>0</v>
      </c>
      <c r="BJ90" s="93">
        <v>0</v>
      </c>
      <c r="BK90" s="36">
        <v>0</v>
      </c>
      <c r="BL90" s="36">
        <v>0</v>
      </c>
      <c r="BM90" s="93"/>
      <c r="BN90" s="93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5"/>
      <c r="BZ90" s="35"/>
      <c r="CA90" s="35"/>
      <c r="CB90" s="35"/>
      <c r="CC90" s="35"/>
      <c r="CD90" s="35"/>
      <c r="CE90" s="35"/>
      <c r="CF90" s="35"/>
      <c r="CG90" s="36"/>
      <c r="CH90" s="35"/>
      <c r="CI90" s="35"/>
      <c r="CJ90" s="35"/>
      <c r="CK90" s="35"/>
      <c r="CL90" s="35"/>
      <c r="CM90" s="51"/>
      <c r="CN90" s="51"/>
      <c r="CO90" s="51"/>
      <c r="CP90" s="51"/>
      <c r="CQ90" s="35"/>
      <c r="CR90" s="35"/>
      <c r="CS90" s="35"/>
      <c r="CT90" s="35"/>
      <c r="CU90" s="35"/>
      <c r="CV90" s="35"/>
      <c r="CW90" s="35"/>
      <c r="CX90" s="35"/>
      <c r="CY90" s="35"/>
      <c r="CZ90" s="36"/>
      <c r="DA90" s="35"/>
      <c r="DB90" s="35"/>
      <c r="DC90" s="35"/>
      <c r="DD90" s="35"/>
      <c r="DE90" s="35"/>
      <c r="DF90" s="35"/>
      <c r="DG90" s="35"/>
      <c r="DH90" s="35"/>
      <c r="DI90" s="36"/>
      <c r="DJ90" s="36"/>
      <c r="DK90" s="35"/>
      <c r="DL90" s="35"/>
      <c r="DM90" s="35"/>
      <c r="DN90" s="35"/>
      <c r="DO90" s="35"/>
      <c r="DP90" s="35"/>
      <c r="DQ90" s="35"/>
      <c r="DR90" s="35"/>
      <c r="DS90" s="36"/>
      <c r="DT90" s="36"/>
      <c r="DU90" s="36"/>
      <c r="DV90" s="36"/>
      <c r="DW90" s="36"/>
      <c r="DX90" s="36"/>
      <c r="DY90" s="36"/>
      <c r="DZ90" s="48"/>
      <c r="EA90" s="35"/>
      <c r="EB90" s="35"/>
      <c r="EC90" s="35"/>
      <c r="ED90" s="35"/>
      <c r="EE90" s="35"/>
      <c r="EF90" s="35"/>
      <c r="EG90" s="35"/>
      <c r="EH90" s="35"/>
      <c r="EI90" s="35"/>
      <c r="EJ90" s="35">
        <v>1</v>
      </c>
      <c r="EK90" s="35">
        <v>0</v>
      </c>
      <c r="EL90" s="35">
        <v>0.5</v>
      </c>
      <c r="EM90" s="35">
        <v>0.25</v>
      </c>
      <c r="EN90" s="35">
        <v>0</v>
      </c>
      <c r="EO90" s="35">
        <v>0.25</v>
      </c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6"/>
      <c r="FC90" s="35"/>
      <c r="FD90" s="35"/>
      <c r="FE90" s="35"/>
      <c r="FF90" s="35"/>
      <c r="FG90" s="35"/>
      <c r="FH90" s="35"/>
      <c r="FI90" s="35"/>
      <c r="FJ90" s="48"/>
      <c r="FK90" s="35"/>
      <c r="FL90" s="35"/>
      <c r="FM90" s="35"/>
      <c r="FN90" s="35"/>
      <c r="FO90" s="35"/>
      <c r="FP90" s="35"/>
      <c r="FQ90" s="35"/>
      <c r="FR90" s="35"/>
      <c r="FS90" s="35">
        <f t="shared" si="31"/>
        <v>0</v>
      </c>
      <c r="FT90" s="36"/>
      <c r="FU90" s="36"/>
      <c r="FV90" s="36"/>
      <c r="FW90" s="36"/>
      <c r="FX90" s="36"/>
      <c r="FY90" s="36"/>
      <c r="FZ90" s="36"/>
      <c r="GA90" s="48"/>
      <c r="GB90" s="36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6"/>
      <c r="HD90" s="36"/>
      <c r="HE90" s="36"/>
      <c r="HF90" s="36"/>
      <c r="HG90" s="36"/>
      <c r="HH90" s="36"/>
      <c r="HI90" s="36"/>
      <c r="HJ90" s="36"/>
      <c r="HK90" s="36"/>
      <c r="HL90" s="35"/>
      <c r="HM90" s="35"/>
      <c r="HN90" s="35"/>
      <c r="HO90" s="35"/>
      <c r="HP90" s="35"/>
      <c r="HQ90" s="35"/>
      <c r="HR90" s="35"/>
      <c r="HS90" s="35"/>
      <c r="HT90" s="36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49"/>
      <c r="IF90" s="50">
        <f t="shared" si="32"/>
        <v>0</v>
      </c>
      <c r="IG90" s="50">
        <f t="shared" si="33"/>
        <v>0</v>
      </c>
      <c r="IH90" s="50">
        <f t="shared" si="34"/>
        <v>0</v>
      </c>
      <c r="II90" s="50">
        <f t="shared" si="35"/>
        <v>0</v>
      </c>
      <c r="IJ90" s="50">
        <f t="shared" si="36"/>
        <v>0</v>
      </c>
      <c r="IK90" s="50">
        <f t="shared" si="18"/>
        <v>0</v>
      </c>
      <c r="IL90" s="50">
        <f t="shared" si="37"/>
        <v>0</v>
      </c>
      <c r="IM90" s="50">
        <f t="shared" si="37"/>
        <v>0</v>
      </c>
      <c r="IN90" s="47">
        <f t="shared" si="38"/>
        <v>1</v>
      </c>
      <c r="IO90" s="47">
        <f t="shared" si="39"/>
        <v>0</v>
      </c>
      <c r="IP90" s="47">
        <f t="shared" si="40"/>
        <v>0.5</v>
      </c>
      <c r="IQ90" s="47">
        <f t="shared" si="41"/>
        <v>0.25</v>
      </c>
      <c r="IR90" s="47">
        <f t="shared" si="42"/>
        <v>0</v>
      </c>
      <c r="IS90" s="47">
        <f t="shared" si="43"/>
        <v>0.25</v>
      </c>
      <c r="IT90" s="47">
        <f t="shared" si="44"/>
        <v>0</v>
      </c>
      <c r="IU90" s="95">
        <f t="shared" si="45"/>
        <v>0</v>
      </c>
      <c r="IV90" s="36">
        <v>17.2</v>
      </c>
      <c r="IW90" s="52">
        <v>1</v>
      </c>
      <c r="IX90" s="48"/>
    </row>
    <row r="91" spans="1:258" s="5" customFormat="1" ht="15.95" customHeight="1">
      <c r="A91" s="6">
        <v>85</v>
      </c>
      <c r="B91" s="46" t="s">
        <v>163</v>
      </c>
      <c r="C91" s="46" t="s">
        <v>137</v>
      </c>
      <c r="D91" s="46" t="s">
        <v>158</v>
      </c>
      <c r="E91" s="36">
        <v>62.7</v>
      </c>
      <c r="F91" s="47"/>
      <c r="G91" s="47">
        <v>200</v>
      </c>
      <c r="H91" s="47"/>
      <c r="I91" s="47">
        <v>200</v>
      </c>
      <c r="J91" s="47">
        <v>0</v>
      </c>
      <c r="K91" s="47"/>
      <c r="L91" s="47"/>
      <c r="M91" s="47"/>
      <c r="N91" s="47"/>
      <c r="O91" s="36"/>
      <c r="P91" s="36">
        <v>200</v>
      </c>
      <c r="Q91" s="36">
        <v>0</v>
      </c>
      <c r="R91" s="50"/>
      <c r="S91" s="50"/>
      <c r="T91" s="50"/>
      <c r="U91" s="50"/>
      <c r="V91" s="34">
        <v>0</v>
      </c>
      <c r="W91" s="34">
        <v>0</v>
      </c>
      <c r="X91" s="34">
        <v>0</v>
      </c>
      <c r="Y91" s="34">
        <v>0</v>
      </c>
      <c r="Z91" s="34"/>
      <c r="AA91" s="34"/>
      <c r="AB91" s="34"/>
      <c r="AC91" s="34"/>
      <c r="AD91" s="34">
        <v>0</v>
      </c>
      <c r="AE91" s="34">
        <v>0</v>
      </c>
      <c r="AF91" s="34">
        <v>0</v>
      </c>
      <c r="AG91" s="34"/>
      <c r="AH91" s="34"/>
      <c r="AI91" s="47"/>
      <c r="AJ91" s="47"/>
      <c r="AK91" s="47">
        <v>727</v>
      </c>
      <c r="AL91" s="47">
        <v>0</v>
      </c>
      <c r="AM91" s="47">
        <v>301</v>
      </c>
      <c r="AN91" s="92">
        <v>5</v>
      </c>
      <c r="AO91" s="47">
        <v>0</v>
      </c>
      <c r="AP91" s="47">
        <v>421</v>
      </c>
      <c r="AQ91" s="96"/>
      <c r="AR91" s="96"/>
      <c r="AS91" s="36">
        <v>0</v>
      </c>
      <c r="AT91" s="36">
        <v>0</v>
      </c>
      <c r="AU91" s="93">
        <v>301</v>
      </c>
      <c r="AV91" s="50"/>
      <c r="AW91" s="50">
        <v>426</v>
      </c>
      <c r="AX91" s="92"/>
      <c r="AY91" s="92"/>
      <c r="AZ91" s="47">
        <v>100</v>
      </c>
      <c r="BA91" s="47"/>
      <c r="BB91" s="92">
        <v>100</v>
      </c>
      <c r="BC91" s="47">
        <v>0</v>
      </c>
      <c r="BD91" s="47">
        <v>0</v>
      </c>
      <c r="BE91" s="47">
        <v>0</v>
      </c>
      <c r="BF91" s="96"/>
      <c r="BG91" s="96"/>
      <c r="BH91" s="47"/>
      <c r="BI91" s="93">
        <v>100</v>
      </c>
      <c r="BJ91" s="93">
        <v>0</v>
      </c>
      <c r="BK91" s="36">
        <v>0</v>
      </c>
      <c r="BL91" s="36">
        <v>0</v>
      </c>
      <c r="BM91" s="93"/>
      <c r="BN91" s="93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5"/>
      <c r="BZ91" s="35"/>
      <c r="CA91" s="35"/>
      <c r="CB91" s="35"/>
      <c r="CC91" s="35"/>
      <c r="CD91" s="35"/>
      <c r="CE91" s="35"/>
      <c r="CF91" s="35"/>
      <c r="CG91" s="36">
        <f>(350*10)/10000</f>
        <v>0.35</v>
      </c>
      <c r="CH91" s="35">
        <v>0</v>
      </c>
      <c r="CI91" s="35">
        <v>0</v>
      </c>
      <c r="CJ91" s="35">
        <v>0.27</v>
      </c>
      <c r="CK91" s="35"/>
      <c r="CL91" s="35">
        <v>0.08</v>
      </c>
      <c r="CM91" s="51"/>
      <c r="CN91" s="51"/>
      <c r="CO91" s="51"/>
      <c r="CP91" s="51"/>
      <c r="CQ91" s="35">
        <v>9.6</v>
      </c>
      <c r="CR91" s="35">
        <v>3</v>
      </c>
      <c r="CS91" s="35">
        <v>0</v>
      </c>
      <c r="CT91" s="35">
        <v>0</v>
      </c>
      <c r="CU91" s="35">
        <v>0</v>
      </c>
      <c r="CV91" s="35">
        <v>6.6</v>
      </c>
      <c r="CW91" s="35"/>
      <c r="CX91" s="35"/>
      <c r="CY91" s="35"/>
      <c r="CZ91" s="36"/>
      <c r="DA91" s="35"/>
      <c r="DB91" s="35"/>
      <c r="DC91" s="35"/>
      <c r="DD91" s="35"/>
      <c r="DE91" s="35"/>
      <c r="DF91" s="35"/>
      <c r="DG91" s="35"/>
      <c r="DH91" s="35"/>
      <c r="DI91" s="36">
        <v>7</v>
      </c>
      <c r="DJ91" s="36">
        <v>18</v>
      </c>
      <c r="DK91" s="35">
        <v>9</v>
      </c>
      <c r="DL91" s="35">
        <v>0</v>
      </c>
      <c r="DM91" s="35">
        <v>0</v>
      </c>
      <c r="DN91" s="35">
        <v>0</v>
      </c>
      <c r="DO91" s="35">
        <v>9</v>
      </c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48"/>
      <c r="EA91" s="35"/>
      <c r="EB91" s="35"/>
      <c r="EC91" s="35"/>
      <c r="ED91" s="35"/>
      <c r="EE91" s="35"/>
      <c r="EF91" s="35"/>
      <c r="EG91" s="35"/>
      <c r="EH91" s="35"/>
      <c r="EI91" s="35"/>
      <c r="EJ91" s="35">
        <v>1</v>
      </c>
      <c r="EK91" s="35">
        <v>0</v>
      </c>
      <c r="EL91" s="35">
        <v>0.59</v>
      </c>
      <c r="EM91" s="35">
        <v>0.1</v>
      </c>
      <c r="EN91" s="35">
        <v>0</v>
      </c>
      <c r="EO91" s="35">
        <v>0.31</v>
      </c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6"/>
      <c r="FC91" s="35"/>
      <c r="FD91" s="35"/>
      <c r="FE91" s="35"/>
      <c r="FF91" s="35"/>
      <c r="FG91" s="35">
        <v>1</v>
      </c>
      <c r="FH91" s="35"/>
      <c r="FI91" s="35"/>
      <c r="FJ91" s="48"/>
      <c r="FK91" s="35"/>
      <c r="FL91" s="35"/>
      <c r="FM91" s="35"/>
      <c r="FN91" s="35"/>
      <c r="FO91" s="35"/>
      <c r="FP91" s="35"/>
      <c r="FQ91" s="35"/>
      <c r="FR91" s="35"/>
      <c r="FS91" s="35">
        <f t="shared" si="31"/>
        <v>0</v>
      </c>
      <c r="FT91" s="36"/>
      <c r="FU91" s="36"/>
      <c r="FV91" s="36"/>
      <c r="FW91" s="36"/>
      <c r="FX91" s="36"/>
      <c r="FY91" s="36"/>
      <c r="FZ91" s="36"/>
      <c r="GA91" s="48"/>
      <c r="GB91" s="35">
        <v>0.5</v>
      </c>
      <c r="GC91" s="35">
        <v>0</v>
      </c>
      <c r="GD91" s="35">
        <v>0</v>
      </c>
      <c r="GE91" s="35">
        <v>0.125</v>
      </c>
      <c r="GF91" s="35"/>
      <c r="GG91" s="35">
        <v>0.375</v>
      </c>
      <c r="GH91" s="35"/>
      <c r="GI91" s="35"/>
      <c r="GJ91" s="35"/>
      <c r="GK91" s="35">
        <v>0.5</v>
      </c>
      <c r="GL91" s="35">
        <v>0</v>
      </c>
      <c r="GM91" s="35">
        <v>0</v>
      </c>
      <c r="GN91" s="35">
        <v>0</v>
      </c>
      <c r="GO91" s="35"/>
      <c r="GP91" s="35">
        <v>0.5</v>
      </c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6"/>
      <c r="HD91" s="36"/>
      <c r="HE91" s="36"/>
      <c r="HF91" s="36"/>
      <c r="HG91" s="36"/>
      <c r="HH91" s="36"/>
      <c r="HI91" s="36"/>
      <c r="HJ91" s="36"/>
      <c r="HK91" s="36"/>
      <c r="HL91" s="35">
        <v>1</v>
      </c>
      <c r="HM91" s="35">
        <v>0</v>
      </c>
      <c r="HN91" s="35">
        <v>0</v>
      </c>
      <c r="HO91" s="35">
        <v>0</v>
      </c>
      <c r="HP91" s="35">
        <v>0</v>
      </c>
      <c r="HQ91" s="35">
        <v>0</v>
      </c>
      <c r="HR91" s="35">
        <v>1</v>
      </c>
      <c r="HS91" s="35">
        <v>0</v>
      </c>
      <c r="HT91" s="36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49"/>
      <c r="IF91" s="50">
        <f t="shared" si="32"/>
        <v>1.35</v>
      </c>
      <c r="IG91" s="50">
        <f t="shared" si="33"/>
        <v>0</v>
      </c>
      <c r="IH91" s="50">
        <f t="shared" si="34"/>
        <v>0</v>
      </c>
      <c r="II91" s="50">
        <f t="shared" si="35"/>
        <v>0.39500000000000002</v>
      </c>
      <c r="IJ91" s="50">
        <f t="shared" si="36"/>
        <v>0</v>
      </c>
      <c r="IK91" s="50">
        <f t="shared" si="18"/>
        <v>0.95500000000000007</v>
      </c>
      <c r="IL91" s="50">
        <f t="shared" si="37"/>
        <v>0</v>
      </c>
      <c r="IM91" s="50">
        <f t="shared" si="37"/>
        <v>0</v>
      </c>
      <c r="IN91" s="47">
        <f t="shared" si="38"/>
        <v>10.6</v>
      </c>
      <c r="IO91" s="47">
        <f t="shared" si="39"/>
        <v>3</v>
      </c>
      <c r="IP91" s="47">
        <f t="shared" si="40"/>
        <v>0.59</v>
      </c>
      <c r="IQ91" s="47">
        <f t="shared" si="41"/>
        <v>0.1</v>
      </c>
      <c r="IR91" s="47">
        <f t="shared" si="42"/>
        <v>0</v>
      </c>
      <c r="IS91" s="47">
        <f t="shared" si="43"/>
        <v>6.9099999999999993</v>
      </c>
      <c r="IT91" s="47">
        <f t="shared" si="44"/>
        <v>0</v>
      </c>
      <c r="IU91" s="95">
        <f t="shared" si="45"/>
        <v>0</v>
      </c>
      <c r="IV91" s="36">
        <v>9.5</v>
      </c>
      <c r="IW91" s="52">
        <v>1</v>
      </c>
      <c r="IX91" s="48"/>
    </row>
    <row r="92" spans="1:258" s="5" customFormat="1" ht="15.95" customHeight="1">
      <c r="A92" s="12">
        <v>86</v>
      </c>
      <c r="B92" s="46" t="s">
        <v>164</v>
      </c>
      <c r="C92" s="46" t="s">
        <v>137</v>
      </c>
      <c r="D92" s="46" t="s">
        <v>158</v>
      </c>
      <c r="E92" s="36">
        <v>11.5</v>
      </c>
      <c r="F92" s="47"/>
      <c r="G92" s="47">
        <v>0</v>
      </c>
      <c r="H92" s="47"/>
      <c r="I92" s="47">
        <v>0</v>
      </c>
      <c r="J92" s="47">
        <v>0</v>
      </c>
      <c r="K92" s="47"/>
      <c r="L92" s="47"/>
      <c r="M92" s="47"/>
      <c r="N92" s="47"/>
      <c r="O92" s="36"/>
      <c r="P92" s="36">
        <v>0</v>
      </c>
      <c r="Q92" s="36">
        <v>0</v>
      </c>
      <c r="R92" s="50"/>
      <c r="S92" s="50"/>
      <c r="T92" s="50"/>
      <c r="U92" s="50"/>
      <c r="V92" s="34">
        <v>0</v>
      </c>
      <c r="W92" s="34">
        <v>0</v>
      </c>
      <c r="X92" s="34">
        <v>0</v>
      </c>
      <c r="Y92" s="34">
        <v>0</v>
      </c>
      <c r="Z92" s="34"/>
      <c r="AA92" s="34"/>
      <c r="AB92" s="34"/>
      <c r="AC92" s="34"/>
      <c r="AD92" s="34">
        <v>0</v>
      </c>
      <c r="AE92" s="34">
        <v>0</v>
      </c>
      <c r="AF92" s="34">
        <v>0</v>
      </c>
      <c r="AG92" s="34"/>
      <c r="AH92" s="34"/>
      <c r="AI92" s="47"/>
      <c r="AJ92" s="47"/>
      <c r="AK92" s="47">
        <v>200</v>
      </c>
      <c r="AL92" s="47">
        <v>0</v>
      </c>
      <c r="AM92" s="47">
        <v>20</v>
      </c>
      <c r="AN92" s="92">
        <v>50</v>
      </c>
      <c r="AO92" s="47">
        <v>0</v>
      </c>
      <c r="AP92" s="47">
        <v>130</v>
      </c>
      <c r="AQ92" s="96"/>
      <c r="AR92" s="96"/>
      <c r="AS92" s="36">
        <v>0</v>
      </c>
      <c r="AT92" s="36">
        <v>0</v>
      </c>
      <c r="AU92" s="93">
        <v>20</v>
      </c>
      <c r="AV92" s="50"/>
      <c r="AW92" s="50">
        <v>180</v>
      </c>
      <c r="AX92" s="92"/>
      <c r="AY92" s="92"/>
      <c r="AZ92" s="47">
        <v>0</v>
      </c>
      <c r="BA92" s="47"/>
      <c r="BB92" s="92">
        <v>0</v>
      </c>
      <c r="BC92" s="47">
        <v>0</v>
      </c>
      <c r="BD92" s="47">
        <v>0</v>
      </c>
      <c r="BE92" s="47">
        <v>0</v>
      </c>
      <c r="BF92" s="96"/>
      <c r="BG92" s="96"/>
      <c r="BH92" s="47"/>
      <c r="BI92" s="93">
        <v>0</v>
      </c>
      <c r="BJ92" s="93">
        <v>0</v>
      </c>
      <c r="BK92" s="36">
        <v>0</v>
      </c>
      <c r="BL92" s="36">
        <v>0</v>
      </c>
      <c r="BM92" s="93"/>
      <c r="BN92" s="93"/>
      <c r="BO92" s="36"/>
      <c r="BP92" s="36"/>
      <c r="BQ92" s="36"/>
      <c r="BR92" s="36"/>
      <c r="BS92" s="36"/>
      <c r="BT92" s="36"/>
      <c r="BU92" s="36"/>
      <c r="BV92" s="36"/>
      <c r="BW92" s="36"/>
      <c r="BX92" s="48"/>
      <c r="BY92" s="35"/>
      <c r="BZ92" s="35"/>
      <c r="CA92" s="35"/>
      <c r="CB92" s="35"/>
      <c r="CC92" s="35"/>
      <c r="CD92" s="35"/>
      <c r="CE92" s="35"/>
      <c r="CF92" s="35"/>
      <c r="CG92" s="48"/>
      <c r="CH92" s="35"/>
      <c r="CI92" s="35"/>
      <c r="CJ92" s="35"/>
      <c r="CK92" s="35"/>
      <c r="CL92" s="35"/>
      <c r="CM92" s="51"/>
      <c r="CN92" s="51"/>
      <c r="CO92" s="51"/>
      <c r="CP92" s="51"/>
      <c r="CQ92" s="35">
        <v>4.5</v>
      </c>
      <c r="CR92" s="35">
        <v>0</v>
      </c>
      <c r="CS92" s="35">
        <v>0</v>
      </c>
      <c r="CT92" s="35">
        <v>0</v>
      </c>
      <c r="CU92" s="35">
        <v>0</v>
      </c>
      <c r="CV92" s="35">
        <v>4.5</v>
      </c>
      <c r="CW92" s="35"/>
      <c r="CX92" s="35"/>
      <c r="CY92" s="35"/>
      <c r="CZ92" s="36"/>
      <c r="DA92" s="35"/>
      <c r="DB92" s="35"/>
      <c r="DC92" s="35"/>
      <c r="DD92" s="35"/>
      <c r="DE92" s="35"/>
      <c r="DF92" s="35"/>
      <c r="DG92" s="35"/>
      <c r="DH92" s="35"/>
      <c r="DI92" s="36">
        <v>1</v>
      </c>
      <c r="DJ92" s="36">
        <v>8</v>
      </c>
      <c r="DK92" s="35">
        <v>1</v>
      </c>
      <c r="DL92" s="35">
        <v>0</v>
      </c>
      <c r="DM92" s="35">
        <v>0</v>
      </c>
      <c r="DN92" s="35">
        <v>0</v>
      </c>
      <c r="DO92" s="35">
        <v>7</v>
      </c>
      <c r="DP92" s="35"/>
      <c r="DQ92" s="35"/>
      <c r="DR92" s="35"/>
      <c r="DS92" s="36"/>
      <c r="DT92" s="36"/>
      <c r="DU92" s="36"/>
      <c r="DV92" s="36"/>
      <c r="DW92" s="36"/>
      <c r="DX92" s="36"/>
      <c r="DY92" s="36"/>
      <c r="DZ92" s="48"/>
      <c r="EA92" s="35"/>
      <c r="EB92" s="35"/>
      <c r="EC92" s="35"/>
      <c r="ED92" s="35"/>
      <c r="EE92" s="35"/>
      <c r="EF92" s="35"/>
      <c r="EG92" s="35"/>
      <c r="EH92" s="35"/>
      <c r="EI92" s="35"/>
      <c r="EJ92" s="35">
        <v>0.5</v>
      </c>
      <c r="EK92" s="35">
        <v>0</v>
      </c>
      <c r="EL92" s="35">
        <v>0</v>
      </c>
      <c r="EM92" s="35">
        <v>0</v>
      </c>
      <c r="EN92" s="35">
        <v>0</v>
      </c>
      <c r="EO92" s="35">
        <v>0.5</v>
      </c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48"/>
      <c r="FC92" s="35"/>
      <c r="FD92" s="35"/>
      <c r="FE92" s="35"/>
      <c r="FF92" s="35"/>
      <c r="FG92" s="35"/>
      <c r="FH92" s="35"/>
      <c r="FI92" s="35"/>
      <c r="FJ92" s="48"/>
      <c r="FK92" s="35"/>
      <c r="FL92" s="35"/>
      <c r="FM92" s="35"/>
      <c r="FN92" s="35"/>
      <c r="FO92" s="35"/>
      <c r="FP92" s="35"/>
      <c r="FQ92" s="35"/>
      <c r="FR92" s="35"/>
      <c r="FS92" s="35">
        <f t="shared" si="31"/>
        <v>0</v>
      </c>
      <c r="FT92" s="36"/>
      <c r="FU92" s="36"/>
      <c r="FV92" s="36">
        <v>1</v>
      </c>
      <c r="FW92" s="36"/>
      <c r="FX92" s="36">
        <v>0</v>
      </c>
      <c r="FY92" s="36"/>
      <c r="FZ92" s="36"/>
      <c r="GA92" s="48"/>
      <c r="GB92" s="48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6"/>
      <c r="HD92" s="36"/>
      <c r="HE92" s="36"/>
      <c r="HF92" s="36"/>
      <c r="HG92" s="36"/>
      <c r="HH92" s="36"/>
      <c r="HI92" s="36"/>
      <c r="HJ92" s="36"/>
      <c r="HK92" s="36"/>
      <c r="HL92" s="35">
        <v>1</v>
      </c>
      <c r="HM92" s="35">
        <v>0</v>
      </c>
      <c r="HN92" s="35">
        <v>0</v>
      </c>
      <c r="HO92" s="35">
        <v>0</v>
      </c>
      <c r="HP92" s="35">
        <v>0</v>
      </c>
      <c r="HQ92" s="35">
        <v>0</v>
      </c>
      <c r="HR92" s="35">
        <v>0</v>
      </c>
      <c r="HS92" s="35">
        <v>1</v>
      </c>
      <c r="HT92" s="36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49"/>
      <c r="IF92" s="50">
        <f t="shared" si="32"/>
        <v>0</v>
      </c>
      <c r="IG92" s="50">
        <f t="shared" si="33"/>
        <v>0</v>
      </c>
      <c r="IH92" s="50">
        <f t="shared" si="34"/>
        <v>0</v>
      </c>
      <c r="II92" s="50">
        <f t="shared" si="35"/>
        <v>0</v>
      </c>
      <c r="IJ92" s="50">
        <f t="shared" si="36"/>
        <v>0</v>
      </c>
      <c r="IK92" s="50">
        <f t="shared" si="18"/>
        <v>0</v>
      </c>
      <c r="IL92" s="50">
        <f t="shared" si="37"/>
        <v>0</v>
      </c>
      <c r="IM92" s="50">
        <f t="shared" si="37"/>
        <v>0</v>
      </c>
      <c r="IN92" s="47">
        <f t="shared" si="38"/>
        <v>5</v>
      </c>
      <c r="IO92" s="47">
        <f t="shared" si="39"/>
        <v>0</v>
      </c>
      <c r="IP92" s="47">
        <f t="shared" si="40"/>
        <v>0</v>
      </c>
      <c r="IQ92" s="47">
        <f t="shared" si="41"/>
        <v>0</v>
      </c>
      <c r="IR92" s="47">
        <f t="shared" si="42"/>
        <v>0</v>
      </c>
      <c r="IS92" s="47">
        <f t="shared" si="43"/>
        <v>5</v>
      </c>
      <c r="IT92" s="47">
        <f t="shared" si="44"/>
        <v>0</v>
      </c>
      <c r="IU92" s="95">
        <f t="shared" si="45"/>
        <v>0</v>
      </c>
      <c r="IV92" s="36">
        <v>4.3</v>
      </c>
      <c r="IW92" s="52">
        <v>1</v>
      </c>
      <c r="IX92" s="48"/>
    </row>
    <row r="93" spans="1:258" s="5" customFormat="1" ht="15.95" customHeight="1">
      <c r="A93" s="6">
        <v>87</v>
      </c>
      <c r="B93" s="102" t="s">
        <v>165</v>
      </c>
      <c r="C93" s="46" t="s">
        <v>137</v>
      </c>
      <c r="D93" s="46" t="s">
        <v>158</v>
      </c>
      <c r="E93" s="36">
        <v>62.2</v>
      </c>
      <c r="F93" s="47"/>
      <c r="G93" s="47">
        <v>0</v>
      </c>
      <c r="H93" s="47"/>
      <c r="I93" s="47">
        <v>0</v>
      </c>
      <c r="J93" s="47">
        <v>0</v>
      </c>
      <c r="K93" s="47"/>
      <c r="L93" s="47"/>
      <c r="M93" s="47"/>
      <c r="N93" s="47"/>
      <c r="O93" s="36"/>
      <c r="P93" s="36">
        <v>0</v>
      </c>
      <c r="Q93" s="36">
        <v>0</v>
      </c>
      <c r="R93" s="50"/>
      <c r="S93" s="50"/>
      <c r="T93" s="50"/>
      <c r="U93" s="50"/>
      <c r="V93" s="34">
        <v>0</v>
      </c>
      <c r="W93" s="34">
        <v>0</v>
      </c>
      <c r="X93" s="34">
        <v>0</v>
      </c>
      <c r="Y93" s="34">
        <v>0</v>
      </c>
      <c r="Z93" s="34"/>
      <c r="AA93" s="34"/>
      <c r="AB93" s="34"/>
      <c r="AC93" s="34"/>
      <c r="AD93" s="34">
        <v>0</v>
      </c>
      <c r="AE93" s="34">
        <v>0</v>
      </c>
      <c r="AF93" s="34">
        <v>0</v>
      </c>
      <c r="AG93" s="34"/>
      <c r="AH93" s="34"/>
      <c r="AI93" s="47"/>
      <c r="AJ93" s="47"/>
      <c r="AK93" s="47">
        <v>833</v>
      </c>
      <c r="AL93" s="47">
        <v>0</v>
      </c>
      <c r="AM93" s="47">
        <v>56</v>
      </c>
      <c r="AN93" s="92">
        <v>73</v>
      </c>
      <c r="AO93" s="47">
        <v>0</v>
      </c>
      <c r="AP93" s="47">
        <v>704</v>
      </c>
      <c r="AQ93" s="96"/>
      <c r="AR93" s="96"/>
      <c r="AS93" s="36">
        <v>0</v>
      </c>
      <c r="AT93" s="36">
        <v>0</v>
      </c>
      <c r="AU93" s="93">
        <v>81</v>
      </c>
      <c r="AV93" s="50"/>
      <c r="AW93" s="50">
        <v>752</v>
      </c>
      <c r="AX93" s="92"/>
      <c r="AY93" s="92"/>
      <c r="AZ93" s="47">
        <v>20</v>
      </c>
      <c r="BA93" s="47"/>
      <c r="BB93" s="92">
        <v>20</v>
      </c>
      <c r="BC93" s="47">
        <v>0</v>
      </c>
      <c r="BD93" s="47">
        <v>0</v>
      </c>
      <c r="BE93" s="47">
        <v>0</v>
      </c>
      <c r="BF93" s="96"/>
      <c r="BG93" s="96"/>
      <c r="BH93" s="47"/>
      <c r="BI93" s="93">
        <v>20</v>
      </c>
      <c r="BJ93" s="93">
        <v>0</v>
      </c>
      <c r="BK93" s="36">
        <v>0</v>
      </c>
      <c r="BL93" s="36">
        <v>0</v>
      </c>
      <c r="BM93" s="93"/>
      <c r="BN93" s="93"/>
      <c r="BO93" s="36"/>
      <c r="BP93" s="36"/>
      <c r="BQ93" s="36"/>
      <c r="BR93" s="36"/>
      <c r="BS93" s="36"/>
      <c r="BT93" s="36"/>
      <c r="BU93" s="36"/>
      <c r="BV93" s="36"/>
      <c r="BW93" s="36"/>
      <c r="BX93" s="48"/>
      <c r="BY93" s="35"/>
      <c r="BZ93" s="35"/>
      <c r="CA93" s="35"/>
      <c r="CB93" s="35"/>
      <c r="CC93" s="35"/>
      <c r="CD93" s="35"/>
      <c r="CE93" s="35"/>
      <c r="CF93" s="35"/>
      <c r="CG93" s="48"/>
      <c r="CH93" s="35"/>
      <c r="CI93" s="35"/>
      <c r="CJ93" s="35"/>
      <c r="CK93" s="35"/>
      <c r="CL93" s="35"/>
      <c r="CM93" s="51"/>
      <c r="CN93" s="51"/>
      <c r="CO93" s="51"/>
      <c r="CP93" s="51"/>
      <c r="CQ93" s="35">
        <v>7.6</v>
      </c>
      <c r="CR93" s="35">
        <v>0</v>
      </c>
      <c r="CS93" s="35">
        <v>0</v>
      </c>
      <c r="CT93" s="35">
        <v>7.6</v>
      </c>
      <c r="CU93" s="35">
        <v>0</v>
      </c>
      <c r="CV93" s="35">
        <v>0</v>
      </c>
      <c r="CW93" s="35"/>
      <c r="CX93" s="35"/>
      <c r="CY93" s="35"/>
      <c r="CZ93" s="36"/>
      <c r="DA93" s="35"/>
      <c r="DB93" s="35"/>
      <c r="DC93" s="35"/>
      <c r="DD93" s="35"/>
      <c r="DE93" s="35"/>
      <c r="DF93" s="35"/>
      <c r="DG93" s="35"/>
      <c r="DH93" s="35"/>
      <c r="DI93" s="36">
        <v>1</v>
      </c>
      <c r="DJ93" s="36">
        <v>5</v>
      </c>
      <c r="DK93" s="35">
        <v>1</v>
      </c>
      <c r="DL93" s="35">
        <v>0</v>
      </c>
      <c r="DM93" s="35">
        <v>16</v>
      </c>
      <c r="DN93" s="35">
        <v>0</v>
      </c>
      <c r="DO93" s="35">
        <v>0</v>
      </c>
      <c r="DP93" s="35"/>
      <c r="DQ93" s="35"/>
      <c r="DR93" s="35"/>
      <c r="DS93" s="36"/>
      <c r="DT93" s="36"/>
      <c r="DU93" s="36"/>
      <c r="DV93" s="36"/>
      <c r="DW93" s="36"/>
      <c r="DX93" s="36"/>
      <c r="DY93" s="36"/>
      <c r="DZ93" s="48"/>
      <c r="EA93" s="35"/>
      <c r="EB93" s="35"/>
      <c r="EC93" s="35"/>
      <c r="ED93" s="35"/>
      <c r="EE93" s="35"/>
      <c r="EF93" s="35"/>
      <c r="EG93" s="35"/>
      <c r="EH93" s="35"/>
      <c r="EI93" s="35"/>
      <c r="EJ93" s="35">
        <v>1</v>
      </c>
      <c r="EK93" s="35">
        <v>0</v>
      </c>
      <c r="EL93" s="35">
        <v>0.2</v>
      </c>
      <c r="EM93" s="35">
        <v>0</v>
      </c>
      <c r="EN93" s="35">
        <v>0</v>
      </c>
      <c r="EO93" s="35">
        <v>0.8</v>
      </c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48"/>
      <c r="FC93" s="35"/>
      <c r="FD93" s="35"/>
      <c r="FE93" s="35"/>
      <c r="FF93" s="35"/>
      <c r="FG93" s="35"/>
      <c r="FH93" s="35"/>
      <c r="FI93" s="35"/>
      <c r="FJ93" s="48"/>
      <c r="FK93" s="35">
        <v>1100</v>
      </c>
      <c r="FL93" s="35">
        <v>0</v>
      </c>
      <c r="FM93" s="35">
        <v>0</v>
      </c>
      <c r="FN93" s="35">
        <v>500</v>
      </c>
      <c r="FO93" s="35"/>
      <c r="FP93" s="35">
        <v>600</v>
      </c>
      <c r="FQ93" s="35"/>
      <c r="FR93" s="35"/>
      <c r="FS93" s="35">
        <f t="shared" si="31"/>
        <v>0</v>
      </c>
      <c r="FT93" s="36"/>
      <c r="FU93" s="36"/>
      <c r="FV93" s="36"/>
      <c r="FW93" s="36"/>
      <c r="FX93" s="36"/>
      <c r="FY93" s="36"/>
      <c r="FZ93" s="36"/>
      <c r="GA93" s="48"/>
      <c r="GB93" s="48"/>
      <c r="GC93" s="35"/>
      <c r="GD93" s="35"/>
      <c r="GE93" s="35"/>
      <c r="GF93" s="35"/>
      <c r="GG93" s="35"/>
      <c r="GH93" s="35"/>
      <c r="GI93" s="35"/>
      <c r="GJ93" s="35"/>
      <c r="GK93" s="35">
        <v>0.5</v>
      </c>
      <c r="GL93" s="35">
        <v>0</v>
      </c>
      <c r="GM93" s="35">
        <v>0</v>
      </c>
      <c r="GN93" s="35">
        <v>0.03</v>
      </c>
      <c r="GO93" s="35"/>
      <c r="GP93" s="35">
        <v>0.47</v>
      </c>
      <c r="GQ93" s="35"/>
      <c r="GR93" s="35"/>
      <c r="GS93" s="35" t="s">
        <v>166</v>
      </c>
      <c r="GT93" s="35"/>
      <c r="GU93" s="35"/>
      <c r="GV93" s="35"/>
      <c r="GW93" s="35"/>
      <c r="GX93" s="35"/>
      <c r="GY93" s="35"/>
      <c r="GZ93" s="35"/>
      <c r="HA93" s="35"/>
      <c r="HB93" s="35"/>
      <c r="HC93" s="36"/>
      <c r="HD93" s="36"/>
      <c r="HE93" s="36"/>
      <c r="HF93" s="36"/>
      <c r="HG93" s="36"/>
      <c r="HH93" s="36"/>
      <c r="HI93" s="36"/>
      <c r="HJ93" s="36"/>
      <c r="HK93" s="36"/>
      <c r="HL93" s="35">
        <v>1</v>
      </c>
      <c r="HM93" s="35">
        <v>0</v>
      </c>
      <c r="HN93" s="35">
        <v>0.5</v>
      </c>
      <c r="HO93" s="35">
        <v>0</v>
      </c>
      <c r="HP93" s="35">
        <v>0.5</v>
      </c>
      <c r="HQ93" s="35">
        <v>0</v>
      </c>
      <c r="HR93" s="35">
        <v>0</v>
      </c>
      <c r="HS93" s="35">
        <v>0</v>
      </c>
      <c r="HT93" s="36"/>
      <c r="HU93" s="35">
        <v>1</v>
      </c>
      <c r="HV93" s="35">
        <v>0</v>
      </c>
      <c r="HW93" s="35">
        <v>0</v>
      </c>
      <c r="HX93" s="35">
        <v>1</v>
      </c>
      <c r="HY93" s="35"/>
      <c r="HZ93" s="35"/>
      <c r="IA93" s="35"/>
      <c r="IB93" s="35"/>
      <c r="IC93" s="35"/>
      <c r="ID93" s="35"/>
      <c r="IE93" s="49"/>
      <c r="IF93" s="50">
        <f t="shared" si="32"/>
        <v>0.5</v>
      </c>
      <c r="IG93" s="50">
        <f t="shared" si="33"/>
        <v>0</v>
      </c>
      <c r="IH93" s="50">
        <f t="shared" si="34"/>
        <v>0</v>
      </c>
      <c r="II93" s="50">
        <f t="shared" si="35"/>
        <v>0.03</v>
      </c>
      <c r="IJ93" s="50">
        <f t="shared" si="36"/>
        <v>0</v>
      </c>
      <c r="IK93" s="50">
        <f t="shared" si="18"/>
        <v>0.47</v>
      </c>
      <c r="IL93" s="50">
        <f t="shared" si="37"/>
        <v>0</v>
      </c>
      <c r="IM93" s="50">
        <f t="shared" si="37"/>
        <v>0</v>
      </c>
      <c r="IN93" s="47">
        <f t="shared" si="38"/>
        <v>8.6</v>
      </c>
      <c r="IO93" s="47">
        <f t="shared" si="39"/>
        <v>0</v>
      </c>
      <c r="IP93" s="47">
        <f t="shared" si="40"/>
        <v>0.2</v>
      </c>
      <c r="IQ93" s="47">
        <f t="shared" si="41"/>
        <v>7.6</v>
      </c>
      <c r="IR93" s="47">
        <f t="shared" si="42"/>
        <v>0</v>
      </c>
      <c r="IS93" s="47">
        <f t="shared" si="43"/>
        <v>0.8</v>
      </c>
      <c r="IT93" s="47">
        <f t="shared" si="44"/>
        <v>0</v>
      </c>
      <c r="IU93" s="95">
        <f t="shared" si="45"/>
        <v>0</v>
      </c>
      <c r="IV93" s="36">
        <v>22.400000000000002</v>
      </c>
      <c r="IW93" s="52">
        <v>1</v>
      </c>
      <c r="IX93" s="48"/>
    </row>
    <row r="94" spans="1:258" s="5" customFormat="1" ht="15.95" customHeight="1">
      <c r="A94" s="6">
        <v>88</v>
      </c>
      <c r="B94" s="46" t="s">
        <v>167</v>
      </c>
      <c r="C94" s="46" t="s">
        <v>137</v>
      </c>
      <c r="D94" s="46" t="s">
        <v>141</v>
      </c>
      <c r="E94" s="36">
        <v>34.200000000000003</v>
      </c>
      <c r="F94" s="47"/>
      <c r="G94" s="47">
        <v>350</v>
      </c>
      <c r="H94" s="47"/>
      <c r="I94" s="47">
        <v>350</v>
      </c>
      <c r="J94" s="47">
        <v>0</v>
      </c>
      <c r="K94" s="47"/>
      <c r="L94" s="47"/>
      <c r="M94" s="47"/>
      <c r="N94" s="47"/>
      <c r="O94" s="36"/>
      <c r="P94" s="36">
        <v>350</v>
      </c>
      <c r="Q94" s="36">
        <v>0</v>
      </c>
      <c r="R94" s="50"/>
      <c r="S94" s="50"/>
      <c r="T94" s="50"/>
      <c r="U94" s="50"/>
      <c r="V94" s="34">
        <v>0</v>
      </c>
      <c r="W94" s="34">
        <v>0</v>
      </c>
      <c r="X94" s="34">
        <v>0</v>
      </c>
      <c r="Y94" s="34">
        <v>0</v>
      </c>
      <c r="Z94" s="34"/>
      <c r="AA94" s="34"/>
      <c r="AB94" s="34"/>
      <c r="AC94" s="34"/>
      <c r="AD94" s="34">
        <v>0</v>
      </c>
      <c r="AE94" s="34">
        <v>0</v>
      </c>
      <c r="AF94" s="34">
        <v>0</v>
      </c>
      <c r="AG94" s="34"/>
      <c r="AH94" s="34"/>
      <c r="AI94" s="47"/>
      <c r="AJ94" s="47"/>
      <c r="AK94" s="47">
        <v>450</v>
      </c>
      <c r="AL94" s="47">
        <v>0</v>
      </c>
      <c r="AM94" s="47">
        <v>62</v>
      </c>
      <c r="AN94" s="92">
        <v>0</v>
      </c>
      <c r="AO94" s="47">
        <v>199</v>
      </c>
      <c r="AP94" s="47">
        <v>189</v>
      </c>
      <c r="AQ94" s="96"/>
      <c r="AR94" s="96"/>
      <c r="AS94" s="36">
        <v>0</v>
      </c>
      <c r="AT94" s="36">
        <v>0</v>
      </c>
      <c r="AU94" s="93">
        <v>62</v>
      </c>
      <c r="AV94" s="50"/>
      <c r="AW94" s="50">
        <v>388</v>
      </c>
      <c r="AX94" s="92"/>
      <c r="AY94" s="92"/>
      <c r="AZ94" s="47">
        <v>60</v>
      </c>
      <c r="BA94" s="47"/>
      <c r="BB94" s="92">
        <v>60</v>
      </c>
      <c r="BC94" s="47">
        <v>0</v>
      </c>
      <c r="BD94" s="47">
        <v>0</v>
      </c>
      <c r="BE94" s="47">
        <v>0</v>
      </c>
      <c r="BF94" s="96"/>
      <c r="BG94" s="96"/>
      <c r="BH94" s="47"/>
      <c r="BI94" s="93">
        <v>60</v>
      </c>
      <c r="BJ94" s="93">
        <v>0</v>
      </c>
      <c r="BK94" s="36">
        <v>0</v>
      </c>
      <c r="BL94" s="36">
        <v>0</v>
      </c>
      <c r="BM94" s="93"/>
      <c r="BN94" s="93"/>
      <c r="BO94" s="36"/>
      <c r="BP94" s="36"/>
      <c r="BQ94" s="36"/>
      <c r="BR94" s="36"/>
      <c r="BS94" s="36"/>
      <c r="BT94" s="36"/>
      <c r="BU94" s="36"/>
      <c r="BV94" s="36"/>
      <c r="BW94" s="36"/>
      <c r="BX94" s="48"/>
      <c r="BY94" s="35"/>
      <c r="BZ94" s="35"/>
      <c r="CA94" s="35"/>
      <c r="CB94" s="35"/>
      <c r="CC94" s="35"/>
      <c r="CD94" s="35"/>
      <c r="CE94" s="35"/>
      <c r="CF94" s="35"/>
      <c r="CG94" s="48"/>
      <c r="CH94" s="35"/>
      <c r="CI94" s="35"/>
      <c r="CJ94" s="35"/>
      <c r="CK94" s="35"/>
      <c r="CL94" s="35"/>
      <c r="CM94" s="51"/>
      <c r="CN94" s="51"/>
      <c r="CO94" s="51"/>
      <c r="CP94" s="51"/>
      <c r="CQ94" s="35"/>
      <c r="CR94" s="35"/>
      <c r="CS94" s="35"/>
      <c r="CT94" s="35"/>
      <c r="CU94" s="35"/>
      <c r="CV94" s="35"/>
      <c r="CW94" s="35"/>
      <c r="CX94" s="35"/>
      <c r="CY94" s="35"/>
      <c r="CZ94" s="36"/>
      <c r="DA94" s="35"/>
      <c r="DB94" s="35"/>
      <c r="DC94" s="35"/>
      <c r="DD94" s="35"/>
      <c r="DE94" s="35"/>
      <c r="DF94" s="35"/>
      <c r="DG94" s="35"/>
      <c r="DH94" s="35"/>
      <c r="DI94" s="36"/>
      <c r="DJ94" s="36"/>
      <c r="DK94" s="35"/>
      <c r="DL94" s="35"/>
      <c r="DM94" s="35"/>
      <c r="DN94" s="35"/>
      <c r="DO94" s="35"/>
      <c r="DP94" s="35"/>
      <c r="DQ94" s="35"/>
      <c r="DR94" s="35"/>
      <c r="DS94" s="36"/>
      <c r="DT94" s="36"/>
      <c r="DU94" s="36"/>
      <c r="DV94" s="36"/>
      <c r="DW94" s="36"/>
      <c r="DX94" s="36"/>
      <c r="DY94" s="36"/>
      <c r="DZ94" s="48"/>
      <c r="EA94" s="35">
        <v>1</v>
      </c>
      <c r="EB94" s="35">
        <v>0</v>
      </c>
      <c r="EC94" s="35">
        <v>0</v>
      </c>
      <c r="ED94" s="35"/>
      <c r="EE94" s="35"/>
      <c r="EF94" s="35">
        <v>1</v>
      </c>
      <c r="EG94" s="35"/>
      <c r="EH94" s="35"/>
      <c r="EI94" s="35"/>
      <c r="EJ94" s="35">
        <v>0.8</v>
      </c>
      <c r="EK94" s="35">
        <v>0</v>
      </c>
      <c r="EL94" s="35">
        <v>0.5</v>
      </c>
      <c r="EM94" s="35">
        <v>0.18</v>
      </c>
      <c r="EN94" s="35">
        <v>0</v>
      </c>
      <c r="EO94" s="35">
        <v>0.12</v>
      </c>
      <c r="EP94" s="35"/>
      <c r="EQ94" s="35"/>
      <c r="ER94" s="35"/>
      <c r="ES94" s="35">
        <v>0.1</v>
      </c>
      <c r="ET94" s="35">
        <v>0</v>
      </c>
      <c r="EU94" s="35">
        <v>0</v>
      </c>
      <c r="EV94" s="35">
        <v>0.05</v>
      </c>
      <c r="EW94" s="35">
        <v>0</v>
      </c>
      <c r="EX94" s="35">
        <v>0.05</v>
      </c>
      <c r="EY94" s="35"/>
      <c r="EZ94" s="35"/>
      <c r="FA94" s="35"/>
      <c r="FB94" s="48"/>
      <c r="FC94" s="35"/>
      <c r="FD94" s="35"/>
      <c r="FE94" s="35"/>
      <c r="FF94" s="35"/>
      <c r="FG94" s="35"/>
      <c r="FH94" s="35"/>
      <c r="FI94" s="35"/>
      <c r="FJ94" s="48"/>
      <c r="FK94" s="35"/>
      <c r="FL94" s="35"/>
      <c r="FM94" s="35"/>
      <c r="FN94" s="35"/>
      <c r="FO94" s="35"/>
      <c r="FP94" s="35"/>
      <c r="FQ94" s="35"/>
      <c r="FR94" s="35"/>
      <c r="FS94" s="35">
        <f t="shared" si="31"/>
        <v>0</v>
      </c>
      <c r="FT94" s="36"/>
      <c r="FU94" s="36"/>
      <c r="FV94" s="36"/>
      <c r="FW94" s="36"/>
      <c r="FX94" s="36"/>
      <c r="FY94" s="36"/>
      <c r="FZ94" s="36"/>
      <c r="GA94" s="48"/>
      <c r="GB94" s="48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6"/>
      <c r="HD94" s="36"/>
      <c r="HE94" s="36"/>
      <c r="HF94" s="36"/>
      <c r="HG94" s="36"/>
      <c r="HH94" s="36"/>
      <c r="HI94" s="36"/>
      <c r="HJ94" s="36"/>
      <c r="HK94" s="36"/>
      <c r="HL94" s="35">
        <v>1</v>
      </c>
      <c r="HM94" s="35">
        <v>0</v>
      </c>
      <c r="HN94" s="35">
        <v>0</v>
      </c>
      <c r="HO94" s="35">
        <v>0</v>
      </c>
      <c r="HP94" s="35">
        <v>0</v>
      </c>
      <c r="HQ94" s="35">
        <v>0</v>
      </c>
      <c r="HR94" s="35">
        <v>0</v>
      </c>
      <c r="HS94" s="35">
        <v>1</v>
      </c>
      <c r="HT94" s="36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49"/>
      <c r="IF94" s="50">
        <f t="shared" si="32"/>
        <v>0</v>
      </c>
      <c r="IG94" s="50">
        <f t="shared" si="33"/>
        <v>0</v>
      </c>
      <c r="IH94" s="50">
        <f t="shared" si="34"/>
        <v>0</v>
      </c>
      <c r="II94" s="50">
        <f t="shared" si="35"/>
        <v>0</v>
      </c>
      <c r="IJ94" s="50">
        <f t="shared" si="36"/>
        <v>0</v>
      </c>
      <c r="IK94" s="50">
        <f t="shared" si="18"/>
        <v>0</v>
      </c>
      <c r="IL94" s="50">
        <f t="shared" si="37"/>
        <v>0</v>
      </c>
      <c r="IM94" s="50">
        <f t="shared" si="37"/>
        <v>0</v>
      </c>
      <c r="IN94" s="47">
        <f t="shared" si="38"/>
        <v>1.9000000000000001</v>
      </c>
      <c r="IO94" s="47">
        <f t="shared" si="39"/>
        <v>0</v>
      </c>
      <c r="IP94" s="47">
        <f t="shared" si="40"/>
        <v>0.5</v>
      </c>
      <c r="IQ94" s="47">
        <f t="shared" si="41"/>
        <v>0.22999999999999998</v>
      </c>
      <c r="IR94" s="47">
        <f t="shared" si="42"/>
        <v>0</v>
      </c>
      <c r="IS94" s="47">
        <f t="shared" si="43"/>
        <v>1.1700000000000002</v>
      </c>
      <c r="IT94" s="47">
        <f t="shared" si="44"/>
        <v>0</v>
      </c>
      <c r="IU94" s="95">
        <f t="shared" si="45"/>
        <v>0</v>
      </c>
      <c r="IV94" s="36">
        <v>2.7</v>
      </c>
      <c r="IW94" s="52">
        <v>1</v>
      </c>
      <c r="IX94" s="48"/>
    </row>
    <row r="95" spans="1:258" s="5" customFormat="1" ht="15.95" customHeight="1">
      <c r="A95" s="6">
        <v>89</v>
      </c>
      <c r="B95" s="46" t="s">
        <v>168</v>
      </c>
      <c r="C95" s="48" t="s">
        <v>137</v>
      </c>
      <c r="D95" s="48" t="s">
        <v>141</v>
      </c>
      <c r="E95" s="36">
        <v>17.5</v>
      </c>
      <c r="F95" s="47"/>
      <c r="G95" s="47">
        <v>200</v>
      </c>
      <c r="H95" s="47"/>
      <c r="I95" s="47">
        <v>200</v>
      </c>
      <c r="J95" s="47">
        <v>0</v>
      </c>
      <c r="K95" s="47"/>
      <c r="L95" s="47"/>
      <c r="M95" s="47"/>
      <c r="N95" s="47"/>
      <c r="O95" s="36"/>
      <c r="P95" s="36">
        <v>200</v>
      </c>
      <c r="Q95" s="36">
        <v>0</v>
      </c>
      <c r="R95" s="50"/>
      <c r="S95" s="50"/>
      <c r="T95" s="50"/>
      <c r="U95" s="50"/>
      <c r="V95" s="34">
        <v>0</v>
      </c>
      <c r="W95" s="34">
        <v>0</v>
      </c>
      <c r="X95" s="34">
        <v>0</v>
      </c>
      <c r="Y95" s="34">
        <v>0</v>
      </c>
      <c r="Z95" s="34"/>
      <c r="AA95" s="34"/>
      <c r="AB95" s="34"/>
      <c r="AC95" s="34"/>
      <c r="AD95" s="34">
        <v>0</v>
      </c>
      <c r="AE95" s="34">
        <v>0</v>
      </c>
      <c r="AF95" s="34">
        <v>0</v>
      </c>
      <c r="AG95" s="34"/>
      <c r="AH95" s="34"/>
      <c r="AI95" s="47"/>
      <c r="AJ95" s="47"/>
      <c r="AK95" s="47">
        <v>200</v>
      </c>
      <c r="AL95" s="47">
        <v>0</v>
      </c>
      <c r="AM95" s="47">
        <v>0</v>
      </c>
      <c r="AN95" s="92">
        <v>0</v>
      </c>
      <c r="AO95" s="47">
        <v>75</v>
      </c>
      <c r="AP95" s="47">
        <v>125</v>
      </c>
      <c r="AQ95" s="96"/>
      <c r="AR95" s="96"/>
      <c r="AS95" s="36">
        <v>0</v>
      </c>
      <c r="AT95" s="36">
        <v>0</v>
      </c>
      <c r="AU95" s="93">
        <v>0</v>
      </c>
      <c r="AV95" s="50"/>
      <c r="AW95" s="50">
        <v>200</v>
      </c>
      <c r="AX95" s="92"/>
      <c r="AY95" s="92"/>
      <c r="AZ95" s="47">
        <v>50</v>
      </c>
      <c r="BA95" s="47"/>
      <c r="BB95" s="92">
        <v>50</v>
      </c>
      <c r="BC95" s="47">
        <v>0</v>
      </c>
      <c r="BD95" s="47">
        <v>0</v>
      </c>
      <c r="BE95" s="47">
        <v>0</v>
      </c>
      <c r="BF95" s="96"/>
      <c r="BG95" s="96"/>
      <c r="BH95" s="47"/>
      <c r="BI95" s="93">
        <v>50</v>
      </c>
      <c r="BJ95" s="93">
        <v>0</v>
      </c>
      <c r="BK95" s="36">
        <v>0</v>
      </c>
      <c r="BL95" s="36">
        <v>0</v>
      </c>
      <c r="BM95" s="93"/>
      <c r="BN95" s="93"/>
      <c r="BO95" s="36"/>
      <c r="BP95" s="36"/>
      <c r="BQ95" s="36"/>
      <c r="BR95" s="36"/>
      <c r="BS95" s="36"/>
      <c r="BT95" s="36"/>
      <c r="BU95" s="36"/>
      <c r="BV95" s="36"/>
      <c r="BW95" s="36"/>
      <c r="BX95" s="48"/>
      <c r="BY95" s="35"/>
      <c r="BZ95" s="35"/>
      <c r="CA95" s="35"/>
      <c r="CB95" s="35"/>
      <c r="CC95" s="35"/>
      <c r="CD95" s="35"/>
      <c r="CE95" s="35"/>
      <c r="CF95" s="35"/>
      <c r="CG95" s="48"/>
      <c r="CH95" s="35"/>
      <c r="CI95" s="35"/>
      <c r="CJ95" s="35"/>
      <c r="CK95" s="35"/>
      <c r="CL95" s="35"/>
      <c r="CM95" s="51"/>
      <c r="CN95" s="51"/>
      <c r="CO95" s="51"/>
      <c r="CP95" s="51"/>
      <c r="CQ95" s="35"/>
      <c r="CR95" s="35"/>
      <c r="CS95" s="35"/>
      <c r="CT95" s="35"/>
      <c r="CU95" s="35"/>
      <c r="CV95" s="35"/>
      <c r="CW95" s="35"/>
      <c r="CX95" s="35"/>
      <c r="CY95" s="35"/>
      <c r="CZ95" s="48"/>
      <c r="DA95" s="35"/>
      <c r="DB95" s="35"/>
      <c r="DC95" s="35"/>
      <c r="DD95" s="35"/>
      <c r="DE95" s="35"/>
      <c r="DF95" s="35"/>
      <c r="DG95" s="35"/>
      <c r="DH95" s="35"/>
      <c r="DI95" s="48"/>
      <c r="DJ95" s="48"/>
      <c r="DK95" s="35"/>
      <c r="DL95" s="35"/>
      <c r="DM95" s="35"/>
      <c r="DN95" s="35"/>
      <c r="DO95" s="35"/>
      <c r="DP95" s="35"/>
      <c r="DQ95" s="35"/>
      <c r="DR95" s="35"/>
      <c r="DS95" s="48"/>
      <c r="DT95" s="48"/>
      <c r="DU95" s="48"/>
      <c r="DV95" s="48"/>
      <c r="DW95" s="48"/>
      <c r="DX95" s="48"/>
      <c r="DY95" s="48"/>
      <c r="DZ95" s="48"/>
      <c r="EA95" s="35"/>
      <c r="EB95" s="35"/>
      <c r="EC95" s="35"/>
      <c r="ED95" s="35"/>
      <c r="EE95" s="35"/>
      <c r="EF95" s="35"/>
      <c r="EG95" s="35"/>
      <c r="EH95" s="35"/>
      <c r="EI95" s="35"/>
      <c r="EJ95" s="35">
        <v>1.7</v>
      </c>
      <c r="EK95" s="35">
        <v>0</v>
      </c>
      <c r="EL95" s="35">
        <v>0.5</v>
      </c>
      <c r="EM95" s="35">
        <v>0.27</v>
      </c>
      <c r="EN95" s="35">
        <v>0</v>
      </c>
      <c r="EO95" s="35">
        <v>0.93</v>
      </c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48"/>
      <c r="FC95" s="35"/>
      <c r="FD95" s="35"/>
      <c r="FE95" s="35"/>
      <c r="FF95" s="35"/>
      <c r="FG95" s="35"/>
      <c r="FH95" s="35"/>
      <c r="FI95" s="35"/>
      <c r="FJ95" s="48"/>
      <c r="FK95" s="35"/>
      <c r="FL95" s="35"/>
      <c r="FM95" s="35"/>
      <c r="FN95" s="35"/>
      <c r="FO95" s="35"/>
      <c r="FP95" s="35"/>
      <c r="FQ95" s="35"/>
      <c r="FR95" s="35"/>
      <c r="FS95" s="35">
        <f t="shared" si="31"/>
        <v>0</v>
      </c>
      <c r="FT95" s="36"/>
      <c r="FU95" s="36"/>
      <c r="FV95" s="36"/>
      <c r="FW95" s="36"/>
      <c r="FX95" s="36"/>
      <c r="FY95" s="36"/>
      <c r="FZ95" s="36"/>
      <c r="GA95" s="48"/>
      <c r="GB95" s="48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6"/>
      <c r="HD95" s="36"/>
      <c r="HE95" s="36"/>
      <c r="HF95" s="36"/>
      <c r="HG95" s="36"/>
      <c r="HH95" s="36"/>
      <c r="HI95" s="36"/>
      <c r="HJ95" s="36"/>
      <c r="HK95" s="36"/>
      <c r="HL95" s="35">
        <v>1</v>
      </c>
      <c r="HM95" s="35">
        <v>0</v>
      </c>
      <c r="HN95" s="35">
        <v>0.5</v>
      </c>
      <c r="HO95" s="35">
        <v>0.5</v>
      </c>
      <c r="HP95" s="35">
        <v>0</v>
      </c>
      <c r="HQ95" s="35">
        <v>0</v>
      </c>
      <c r="HR95" s="35">
        <v>0</v>
      </c>
      <c r="HS95" s="35">
        <v>0</v>
      </c>
      <c r="HT95" s="36"/>
      <c r="HU95" s="35"/>
      <c r="HV95" s="35"/>
      <c r="HW95" s="35"/>
      <c r="HX95" s="35"/>
      <c r="HY95" s="35"/>
      <c r="HZ95" s="35"/>
      <c r="IA95" s="35"/>
      <c r="IB95" s="35"/>
      <c r="IC95" s="35"/>
      <c r="ID95" s="35">
        <v>1</v>
      </c>
      <c r="IE95" s="49"/>
      <c r="IF95" s="50">
        <f t="shared" si="32"/>
        <v>0</v>
      </c>
      <c r="IG95" s="50">
        <f t="shared" si="33"/>
        <v>0</v>
      </c>
      <c r="IH95" s="50">
        <f t="shared" si="34"/>
        <v>0</v>
      </c>
      <c r="II95" s="50">
        <f t="shared" si="35"/>
        <v>0</v>
      </c>
      <c r="IJ95" s="50">
        <f t="shared" si="36"/>
        <v>0</v>
      </c>
      <c r="IK95" s="50">
        <f t="shared" si="18"/>
        <v>0</v>
      </c>
      <c r="IL95" s="50">
        <f t="shared" si="37"/>
        <v>0</v>
      </c>
      <c r="IM95" s="50">
        <f t="shared" si="37"/>
        <v>0</v>
      </c>
      <c r="IN95" s="47">
        <f t="shared" si="38"/>
        <v>1.7</v>
      </c>
      <c r="IO95" s="47">
        <f t="shared" si="39"/>
        <v>0</v>
      </c>
      <c r="IP95" s="47">
        <f t="shared" si="40"/>
        <v>0.5</v>
      </c>
      <c r="IQ95" s="47">
        <f t="shared" si="41"/>
        <v>0.27</v>
      </c>
      <c r="IR95" s="47">
        <f t="shared" si="42"/>
        <v>0</v>
      </c>
      <c r="IS95" s="47">
        <f t="shared" si="43"/>
        <v>0.93</v>
      </c>
      <c r="IT95" s="47">
        <f t="shared" si="44"/>
        <v>0</v>
      </c>
      <c r="IU95" s="95">
        <f t="shared" si="45"/>
        <v>0</v>
      </c>
      <c r="IV95" s="36">
        <v>4.3</v>
      </c>
      <c r="IW95" s="52">
        <v>1</v>
      </c>
      <c r="IX95" s="48"/>
    </row>
    <row r="96" spans="1:258" s="55" customFormat="1">
      <c r="A96" s="37">
        <v>57</v>
      </c>
      <c r="B96" s="38" t="s">
        <v>169</v>
      </c>
      <c r="C96" s="38" t="s">
        <v>170</v>
      </c>
      <c r="D96" s="38" t="s">
        <v>171</v>
      </c>
      <c r="E96" s="39">
        <v>26.4</v>
      </c>
      <c r="F96" s="40"/>
      <c r="G96" s="40">
        <v>0</v>
      </c>
      <c r="H96" s="40"/>
      <c r="I96" s="40">
        <v>0</v>
      </c>
      <c r="J96" s="40">
        <v>0</v>
      </c>
      <c r="K96" s="40"/>
      <c r="L96" s="40"/>
      <c r="M96" s="40"/>
      <c r="N96" s="40"/>
      <c r="O96" s="39"/>
      <c r="P96" s="39">
        <v>0</v>
      </c>
      <c r="Q96" s="39">
        <v>0</v>
      </c>
      <c r="R96" s="43"/>
      <c r="S96" s="43"/>
      <c r="T96" s="43"/>
      <c r="U96" s="43"/>
      <c r="V96" s="40">
        <v>0</v>
      </c>
      <c r="W96" s="40">
        <v>0</v>
      </c>
      <c r="X96" s="40">
        <v>0</v>
      </c>
      <c r="Y96" s="41">
        <v>0</v>
      </c>
      <c r="Z96" s="41"/>
      <c r="AA96" s="41"/>
      <c r="AB96" s="41"/>
      <c r="AC96" s="41"/>
      <c r="AD96" s="39">
        <v>0</v>
      </c>
      <c r="AE96" s="39">
        <v>0</v>
      </c>
      <c r="AF96" s="39">
        <v>0</v>
      </c>
      <c r="AG96" s="43"/>
      <c r="AH96" s="43">
        <v>0</v>
      </c>
      <c r="AI96" s="43"/>
      <c r="AJ96" s="43"/>
      <c r="AK96" s="40">
        <v>440</v>
      </c>
      <c r="AL96" s="40"/>
      <c r="AM96" s="40">
        <v>250</v>
      </c>
      <c r="AN96" s="40">
        <v>0</v>
      </c>
      <c r="AO96" s="40">
        <v>0</v>
      </c>
      <c r="AP96" s="40">
        <v>190</v>
      </c>
      <c r="AQ96" s="40"/>
      <c r="AR96" s="40"/>
      <c r="AS96" s="39"/>
      <c r="AT96" s="39">
        <v>250</v>
      </c>
      <c r="AU96" s="39">
        <v>0</v>
      </c>
      <c r="AV96" s="43"/>
      <c r="AW96" s="43">
        <v>190</v>
      </c>
      <c r="AX96" s="43"/>
      <c r="AY96" s="43"/>
      <c r="AZ96" s="40">
        <v>30</v>
      </c>
      <c r="BA96" s="40"/>
      <c r="BB96" s="40">
        <v>30</v>
      </c>
      <c r="BC96" s="40">
        <v>0</v>
      </c>
      <c r="BD96" s="40"/>
      <c r="BE96" s="40"/>
      <c r="BF96" s="40"/>
      <c r="BG96" s="40"/>
      <c r="BH96" s="40"/>
      <c r="BI96" s="40">
        <v>30</v>
      </c>
      <c r="BJ96" s="40">
        <v>0</v>
      </c>
      <c r="BK96" s="39">
        <v>0</v>
      </c>
      <c r="BL96" s="39">
        <v>0</v>
      </c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>
        <v>1.3</v>
      </c>
      <c r="CH96" s="39">
        <v>1.3</v>
      </c>
      <c r="CI96" s="39">
        <v>0</v>
      </c>
      <c r="CJ96" s="39">
        <v>0</v>
      </c>
      <c r="CK96" s="39">
        <v>0</v>
      </c>
      <c r="CL96" s="39">
        <v>0</v>
      </c>
      <c r="CM96" s="39"/>
      <c r="CN96" s="39"/>
      <c r="CO96" s="39"/>
      <c r="CP96" s="39"/>
      <c r="CQ96" s="39">
        <v>11.3</v>
      </c>
      <c r="CR96" s="39">
        <v>2</v>
      </c>
      <c r="CS96" s="39">
        <v>8</v>
      </c>
      <c r="CT96" s="39">
        <v>11.3</v>
      </c>
      <c r="CU96" s="39">
        <v>0</v>
      </c>
      <c r="CV96" s="39">
        <v>0</v>
      </c>
      <c r="CW96" s="39"/>
      <c r="CX96" s="39"/>
      <c r="CY96" s="39"/>
      <c r="CZ96" s="39">
        <v>1680</v>
      </c>
      <c r="DA96" s="39">
        <v>100</v>
      </c>
      <c r="DB96" s="39">
        <v>1500</v>
      </c>
      <c r="DC96" s="39">
        <v>180</v>
      </c>
      <c r="DD96" s="39">
        <v>0</v>
      </c>
      <c r="DE96" s="39">
        <v>0</v>
      </c>
      <c r="DF96" s="39"/>
      <c r="DG96" s="39"/>
      <c r="DH96" s="39"/>
      <c r="DI96" s="39">
        <v>28</v>
      </c>
      <c r="DJ96" s="39">
        <v>37</v>
      </c>
      <c r="DK96" s="39">
        <v>37</v>
      </c>
      <c r="DL96" s="39">
        <v>0</v>
      </c>
      <c r="DM96" s="39">
        <v>0</v>
      </c>
      <c r="DN96" s="39">
        <v>0</v>
      </c>
      <c r="DO96" s="39">
        <v>0</v>
      </c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>
        <v>1</v>
      </c>
      <c r="FG96" s="39">
        <v>0</v>
      </c>
      <c r="FH96" s="39"/>
      <c r="FI96" s="39"/>
      <c r="FJ96" s="39"/>
      <c r="FK96" s="39">
        <v>800</v>
      </c>
      <c r="FL96" s="39">
        <v>500</v>
      </c>
      <c r="FM96" s="39">
        <v>300</v>
      </c>
      <c r="FN96" s="39">
        <v>0</v>
      </c>
      <c r="FO96" s="39"/>
      <c r="FP96" s="39">
        <v>0</v>
      </c>
      <c r="FQ96" s="39"/>
      <c r="FR96" s="39"/>
      <c r="FS96" s="39">
        <f t="shared" si="31"/>
        <v>0</v>
      </c>
      <c r="FT96" s="39"/>
      <c r="FU96" s="39"/>
      <c r="FV96" s="39"/>
      <c r="FW96" s="39"/>
      <c r="FX96" s="39">
        <v>7</v>
      </c>
      <c r="FY96" s="39"/>
      <c r="FZ96" s="39">
        <v>1</v>
      </c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54"/>
      <c r="IF96" s="43">
        <f t="shared" si="32"/>
        <v>1.3</v>
      </c>
      <c r="IG96" s="43">
        <f t="shared" si="33"/>
        <v>1.3</v>
      </c>
      <c r="IH96" s="43">
        <f t="shared" si="34"/>
        <v>0</v>
      </c>
      <c r="II96" s="43">
        <f t="shared" si="35"/>
        <v>0</v>
      </c>
      <c r="IJ96" s="43">
        <f t="shared" si="36"/>
        <v>0</v>
      </c>
      <c r="IK96" s="40">
        <f t="shared" si="18"/>
        <v>0</v>
      </c>
      <c r="IL96" s="40">
        <f t="shared" si="37"/>
        <v>0</v>
      </c>
      <c r="IM96" s="40">
        <f t="shared" si="37"/>
        <v>0</v>
      </c>
      <c r="IN96" s="40">
        <f t="shared" si="38"/>
        <v>11.3</v>
      </c>
      <c r="IO96" s="40">
        <f t="shared" si="39"/>
        <v>2</v>
      </c>
      <c r="IP96" s="40">
        <f t="shared" si="40"/>
        <v>8</v>
      </c>
      <c r="IQ96" s="40">
        <f t="shared" si="41"/>
        <v>11.3</v>
      </c>
      <c r="IR96" s="40">
        <f t="shared" si="42"/>
        <v>0</v>
      </c>
      <c r="IS96" s="40">
        <f t="shared" si="43"/>
        <v>0</v>
      </c>
      <c r="IT96" s="40">
        <f t="shared" si="44"/>
        <v>0</v>
      </c>
      <c r="IU96" s="40">
        <f t="shared" si="45"/>
        <v>0</v>
      </c>
      <c r="IV96" s="39">
        <v>1.4</v>
      </c>
      <c r="IW96" s="44">
        <v>1</v>
      </c>
      <c r="IX96" s="39"/>
    </row>
    <row r="97" spans="1:258" s="55" customFormat="1">
      <c r="A97" s="37">
        <v>91</v>
      </c>
      <c r="B97" s="38" t="s">
        <v>172</v>
      </c>
      <c r="C97" s="38" t="s">
        <v>170</v>
      </c>
      <c r="D97" s="38" t="s">
        <v>173</v>
      </c>
      <c r="E97" s="39">
        <v>21.7</v>
      </c>
      <c r="F97" s="40"/>
      <c r="G97" s="40">
        <v>200</v>
      </c>
      <c r="H97" s="40"/>
      <c r="I97" s="40">
        <v>200</v>
      </c>
      <c r="J97" s="40">
        <v>0</v>
      </c>
      <c r="K97" s="40"/>
      <c r="L97" s="40"/>
      <c r="M97" s="40"/>
      <c r="N97" s="40"/>
      <c r="O97" s="39"/>
      <c r="P97" s="39">
        <v>200</v>
      </c>
      <c r="Q97" s="39">
        <v>0</v>
      </c>
      <c r="R97" s="43"/>
      <c r="S97" s="43"/>
      <c r="T97" s="43"/>
      <c r="U97" s="43"/>
      <c r="V97" s="40">
        <v>0</v>
      </c>
      <c r="W97" s="40">
        <v>0</v>
      </c>
      <c r="X97" s="40">
        <v>0</v>
      </c>
      <c r="Y97" s="41">
        <v>0</v>
      </c>
      <c r="Z97" s="41"/>
      <c r="AA97" s="41"/>
      <c r="AB97" s="41"/>
      <c r="AC97" s="41"/>
      <c r="AD97" s="39">
        <v>0</v>
      </c>
      <c r="AE97" s="39">
        <v>0</v>
      </c>
      <c r="AF97" s="39">
        <v>0</v>
      </c>
      <c r="AG97" s="43"/>
      <c r="AH97" s="43"/>
      <c r="AI97" s="43"/>
      <c r="AJ97" s="43"/>
      <c r="AK97" s="40">
        <v>300</v>
      </c>
      <c r="AL97" s="40"/>
      <c r="AM97" s="40">
        <v>100</v>
      </c>
      <c r="AN97" s="40">
        <v>0</v>
      </c>
      <c r="AO97" s="40">
        <v>100</v>
      </c>
      <c r="AP97" s="40">
        <v>100</v>
      </c>
      <c r="AQ97" s="40"/>
      <c r="AR97" s="40"/>
      <c r="AS97" s="39"/>
      <c r="AT97" s="39">
        <v>0</v>
      </c>
      <c r="AU97" s="39">
        <v>100</v>
      </c>
      <c r="AV97" s="43"/>
      <c r="AW97" s="43">
        <v>200</v>
      </c>
      <c r="AX97" s="43"/>
      <c r="AY97" s="43"/>
      <c r="AZ97" s="40">
        <v>0</v>
      </c>
      <c r="BA97" s="40"/>
      <c r="BB97" s="40">
        <v>0</v>
      </c>
      <c r="BC97" s="40">
        <v>0</v>
      </c>
      <c r="BD97" s="40"/>
      <c r="BE97" s="40"/>
      <c r="BF97" s="40"/>
      <c r="BG97" s="40"/>
      <c r="BH97" s="40"/>
      <c r="BI97" s="40">
        <v>0</v>
      </c>
      <c r="BJ97" s="40">
        <v>0</v>
      </c>
      <c r="BK97" s="39">
        <v>0</v>
      </c>
      <c r="BL97" s="39">
        <v>0</v>
      </c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>
        <v>1</v>
      </c>
      <c r="EK97" s="39"/>
      <c r="EL97" s="39"/>
      <c r="EM97" s="39">
        <v>0.5</v>
      </c>
      <c r="EN97" s="39">
        <v>0</v>
      </c>
      <c r="EO97" s="39">
        <v>0.5</v>
      </c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>
        <f t="shared" si="31"/>
        <v>0</v>
      </c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54"/>
      <c r="IF97" s="43">
        <f t="shared" si="32"/>
        <v>0</v>
      </c>
      <c r="IG97" s="43">
        <f t="shared" si="33"/>
        <v>0</v>
      </c>
      <c r="IH97" s="43">
        <f t="shared" si="34"/>
        <v>0</v>
      </c>
      <c r="II97" s="43">
        <f t="shared" si="35"/>
        <v>0</v>
      </c>
      <c r="IJ97" s="43">
        <f t="shared" si="36"/>
        <v>0</v>
      </c>
      <c r="IK97" s="40">
        <f t="shared" si="18"/>
        <v>0</v>
      </c>
      <c r="IL97" s="40">
        <f t="shared" si="37"/>
        <v>0</v>
      </c>
      <c r="IM97" s="40">
        <f t="shared" si="37"/>
        <v>0</v>
      </c>
      <c r="IN97" s="40">
        <f t="shared" si="38"/>
        <v>1</v>
      </c>
      <c r="IO97" s="40">
        <f t="shared" si="39"/>
        <v>0</v>
      </c>
      <c r="IP97" s="40">
        <f t="shared" si="40"/>
        <v>0</v>
      </c>
      <c r="IQ97" s="40">
        <f t="shared" si="41"/>
        <v>0.5</v>
      </c>
      <c r="IR97" s="40">
        <f t="shared" si="42"/>
        <v>0</v>
      </c>
      <c r="IS97" s="40">
        <f t="shared" si="43"/>
        <v>0.5</v>
      </c>
      <c r="IT97" s="40">
        <f t="shared" si="44"/>
        <v>0</v>
      </c>
      <c r="IU97" s="40">
        <f t="shared" si="45"/>
        <v>0</v>
      </c>
      <c r="IV97" s="39">
        <v>3.4</v>
      </c>
      <c r="IW97" s="44">
        <v>1</v>
      </c>
      <c r="IX97" s="39"/>
    </row>
    <row r="98" spans="1:258" s="55" customFormat="1">
      <c r="A98" s="37">
        <v>92</v>
      </c>
      <c r="B98" s="38" t="s">
        <v>174</v>
      </c>
      <c r="C98" s="38" t="s">
        <v>170</v>
      </c>
      <c r="D98" s="38" t="s">
        <v>173</v>
      </c>
      <c r="E98" s="39">
        <v>17</v>
      </c>
      <c r="F98" s="40"/>
      <c r="G98" s="40">
        <v>20</v>
      </c>
      <c r="H98" s="40"/>
      <c r="I98" s="40">
        <v>20</v>
      </c>
      <c r="J98" s="40">
        <v>0</v>
      </c>
      <c r="K98" s="40"/>
      <c r="L98" s="40"/>
      <c r="M98" s="40"/>
      <c r="N98" s="40"/>
      <c r="O98" s="39"/>
      <c r="P98" s="39">
        <v>0</v>
      </c>
      <c r="Q98" s="39">
        <v>20</v>
      </c>
      <c r="R98" s="43"/>
      <c r="S98" s="43"/>
      <c r="T98" s="43"/>
      <c r="U98" s="43"/>
      <c r="V98" s="40">
        <v>0</v>
      </c>
      <c r="W98" s="40">
        <v>0</v>
      </c>
      <c r="X98" s="40">
        <v>0</v>
      </c>
      <c r="Y98" s="41">
        <v>0</v>
      </c>
      <c r="Z98" s="41"/>
      <c r="AA98" s="41"/>
      <c r="AB98" s="41"/>
      <c r="AC98" s="41"/>
      <c r="AD98" s="39">
        <v>0</v>
      </c>
      <c r="AE98" s="39">
        <v>0</v>
      </c>
      <c r="AF98" s="39">
        <v>0</v>
      </c>
      <c r="AG98" s="43"/>
      <c r="AH98" s="43">
        <v>0</v>
      </c>
      <c r="AI98" s="43"/>
      <c r="AJ98" s="43"/>
      <c r="AK98" s="40">
        <v>335</v>
      </c>
      <c r="AL98" s="40"/>
      <c r="AM98" s="40">
        <v>158</v>
      </c>
      <c r="AN98" s="40">
        <v>0</v>
      </c>
      <c r="AO98" s="40">
        <v>0</v>
      </c>
      <c r="AP98" s="40">
        <v>177</v>
      </c>
      <c r="AQ98" s="40"/>
      <c r="AR98" s="40"/>
      <c r="AS98" s="39"/>
      <c r="AT98" s="39">
        <v>0</v>
      </c>
      <c r="AU98" s="39">
        <v>158</v>
      </c>
      <c r="AV98" s="43"/>
      <c r="AW98" s="43">
        <v>177</v>
      </c>
      <c r="AX98" s="43"/>
      <c r="AY98" s="43"/>
      <c r="AZ98" s="40">
        <v>45</v>
      </c>
      <c r="BA98" s="40"/>
      <c r="BB98" s="40">
        <v>45</v>
      </c>
      <c r="BC98" s="40">
        <v>0</v>
      </c>
      <c r="BD98" s="40"/>
      <c r="BE98" s="40"/>
      <c r="BF98" s="40"/>
      <c r="BG98" s="40"/>
      <c r="BH98" s="40"/>
      <c r="BI98" s="40">
        <v>45</v>
      </c>
      <c r="BJ98" s="40">
        <v>0</v>
      </c>
      <c r="BK98" s="39">
        <v>0</v>
      </c>
      <c r="BL98" s="39">
        <v>0</v>
      </c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>
        <v>0.2</v>
      </c>
      <c r="CH98" s="39">
        <v>0.2</v>
      </c>
      <c r="CI98" s="39"/>
      <c r="CJ98" s="39">
        <v>0</v>
      </c>
      <c r="CK98" s="39">
        <v>0</v>
      </c>
      <c r="CL98" s="39">
        <v>0</v>
      </c>
      <c r="CM98" s="39"/>
      <c r="CN98" s="39"/>
      <c r="CO98" s="39"/>
      <c r="CP98" s="39"/>
      <c r="CQ98" s="39">
        <v>3</v>
      </c>
      <c r="CR98" s="39">
        <v>0</v>
      </c>
      <c r="CS98" s="39">
        <v>0</v>
      </c>
      <c r="CT98" s="39">
        <v>2</v>
      </c>
      <c r="CU98" s="39">
        <v>0</v>
      </c>
      <c r="CV98" s="39">
        <v>1</v>
      </c>
      <c r="CW98" s="39"/>
      <c r="CX98" s="39"/>
      <c r="CY98" s="39"/>
      <c r="CZ98" s="39">
        <v>900</v>
      </c>
      <c r="DA98" s="39">
        <v>0</v>
      </c>
      <c r="DB98" s="39">
        <v>0</v>
      </c>
      <c r="DC98" s="39">
        <v>800</v>
      </c>
      <c r="DD98" s="39">
        <v>0</v>
      </c>
      <c r="DE98" s="39">
        <v>100</v>
      </c>
      <c r="DF98" s="39"/>
      <c r="DG98" s="39"/>
      <c r="DH98" s="39"/>
      <c r="DI98" s="39">
        <v>9</v>
      </c>
      <c r="DJ98" s="39">
        <v>17</v>
      </c>
      <c r="DK98" s="39">
        <v>17</v>
      </c>
      <c r="DL98" s="39">
        <v>0</v>
      </c>
      <c r="DM98" s="39">
        <v>0</v>
      </c>
      <c r="DN98" s="39">
        <v>0</v>
      </c>
      <c r="DO98" s="39">
        <v>0</v>
      </c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>
        <v>0.1</v>
      </c>
      <c r="EK98" s="39">
        <v>0</v>
      </c>
      <c r="EL98" s="39">
        <v>0.1</v>
      </c>
      <c r="EM98" s="39">
        <v>0</v>
      </c>
      <c r="EN98" s="39">
        <v>0</v>
      </c>
      <c r="EO98" s="39">
        <v>0</v>
      </c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>
        <v>200</v>
      </c>
      <c r="FL98" s="39">
        <v>200</v>
      </c>
      <c r="FM98" s="39">
        <v>0</v>
      </c>
      <c r="FN98" s="39">
        <v>0</v>
      </c>
      <c r="FO98" s="39"/>
      <c r="FP98" s="39">
        <v>0</v>
      </c>
      <c r="FQ98" s="39"/>
      <c r="FR98" s="39"/>
      <c r="FS98" s="39">
        <f t="shared" si="31"/>
        <v>0</v>
      </c>
      <c r="FT98" s="39">
        <v>1</v>
      </c>
      <c r="FU98" s="39">
        <v>0</v>
      </c>
      <c r="FV98" s="39">
        <v>0</v>
      </c>
      <c r="FW98" s="39"/>
      <c r="FX98" s="39">
        <v>0</v>
      </c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54"/>
      <c r="IF98" s="43">
        <f t="shared" si="32"/>
        <v>0.2</v>
      </c>
      <c r="IG98" s="43">
        <f t="shared" si="33"/>
        <v>0.2</v>
      </c>
      <c r="IH98" s="43">
        <f t="shared" si="34"/>
        <v>0</v>
      </c>
      <c r="II98" s="43">
        <f t="shared" si="35"/>
        <v>0</v>
      </c>
      <c r="IJ98" s="43">
        <f t="shared" si="36"/>
        <v>0</v>
      </c>
      <c r="IK98" s="40">
        <f t="shared" si="18"/>
        <v>0</v>
      </c>
      <c r="IL98" s="40">
        <f t="shared" si="37"/>
        <v>0</v>
      </c>
      <c r="IM98" s="40">
        <f t="shared" si="37"/>
        <v>0</v>
      </c>
      <c r="IN98" s="40">
        <f t="shared" si="38"/>
        <v>3.1</v>
      </c>
      <c r="IO98" s="40">
        <f t="shared" si="39"/>
        <v>0</v>
      </c>
      <c r="IP98" s="40">
        <f t="shared" si="40"/>
        <v>0.1</v>
      </c>
      <c r="IQ98" s="40">
        <f t="shared" si="41"/>
        <v>2</v>
      </c>
      <c r="IR98" s="40">
        <f t="shared" si="42"/>
        <v>0</v>
      </c>
      <c r="IS98" s="40">
        <f t="shared" si="43"/>
        <v>1</v>
      </c>
      <c r="IT98" s="40">
        <f t="shared" si="44"/>
        <v>0</v>
      </c>
      <c r="IU98" s="40">
        <f t="shared" si="45"/>
        <v>0</v>
      </c>
      <c r="IV98" s="39">
        <v>5.2</v>
      </c>
      <c r="IW98" s="44">
        <v>1</v>
      </c>
      <c r="IX98" s="39"/>
    </row>
    <row r="99" spans="1:258" s="55" customFormat="1">
      <c r="A99" s="45">
        <v>93</v>
      </c>
      <c r="B99" s="38" t="s">
        <v>175</v>
      </c>
      <c r="C99" s="38" t="s">
        <v>170</v>
      </c>
      <c r="D99" s="38" t="s">
        <v>173</v>
      </c>
      <c r="E99" s="39">
        <v>13</v>
      </c>
      <c r="F99" s="40"/>
      <c r="G99" s="40">
        <v>200</v>
      </c>
      <c r="H99" s="40"/>
      <c r="I99" s="40">
        <v>200</v>
      </c>
      <c r="J99" s="40">
        <v>0</v>
      </c>
      <c r="K99" s="40"/>
      <c r="L99" s="40"/>
      <c r="M99" s="40"/>
      <c r="N99" s="40"/>
      <c r="O99" s="39"/>
      <c r="P99" s="39">
        <v>200</v>
      </c>
      <c r="Q99" s="39">
        <v>0</v>
      </c>
      <c r="R99" s="43"/>
      <c r="S99" s="43"/>
      <c r="T99" s="43"/>
      <c r="U99" s="43"/>
      <c r="V99" s="40">
        <v>0</v>
      </c>
      <c r="W99" s="40">
        <v>0</v>
      </c>
      <c r="X99" s="40">
        <v>0</v>
      </c>
      <c r="Y99" s="41">
        <v>0</v>
      </c>
      <c r="Z99" s="41"/>
      <c r="AA99" s="41"/>
      <c r="AB99" s="41"/>
      <c r="AC99" s="41"/>
      <c r="AD99" s="39">
        <v>0</v>
      </c>
      <c r="AE99" s="39">
        <v>0</v>
      </c>
      <c r="AF99" s="39">
        <v>0</v>
      </c>
      <c r="AG99" s="43"/>
      <c r="AH99" s="43"/>
      <c r="AI99" s="43"/>
      <c r="AJ99" s="43"/>
      <c r="AK99" s="40">
        <v>600</v>
      </c>
      <c r="AL99" s="40"/>
      <c r="AM99" s="40">
        <v>250</v>
      </c>
      <c r="AN99" s="40">
        <v>0</v>
      </c>
      <c r="AO99" s="40">
        <v>225</v>
      </c>
      <c r="AP99" s="40">
        <v>125</v>
      </c>
      <c r="AQ99" s="40"/>
      <c r="AR99" s="40"/>
      <c r="AS99" s="39"/>
      <c r="AT99" s="39">
        <v>250</v>
      </c>
      <c r="AU99" s="39">
        <v>0</v>
      </c>
      <c r="AV99" s="43"/>
      <c r="AW99" s="43">
        <v>350</v>
      </c>
      <c r="AX99" s="43"/>
      <c r="AY99" s="43"/>
      <c r="AZ99" s="40">
        <v>0</v>
      </c>
      <c r="BA99" s="40"/>
      <c r="BB99" s="40">
        <v>0</v>
      </c>
      <c r="BC99" s="40">
        <v>0</v>
      </c>
      <c r="BD99" s="40"/>
      <c r="BE99" s="40"/>
      <c r="BF99" s="40"/>
      <c r="BG99" s="40"/>
      <c r="BH99" s="40"/>
      <c r="BI99" s="40">
        <v>0</v>
      </c>
      <c r="BJ99" s="40">
        <v>0</v>
      </c>
      <c r="BK99" s="39">
        <v>0</v>
      </c>
      <c r="BL99" s="39">
        <v>0</v>
      </c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>
        <v>3.4</v>
      </c>
      <c r="CH99" s="39">
        <v>3.4</v>
      </c>
      <c r="CI99" s="39">
        <v>0</v>
      </c>
      <c r="CJ99" s="39">
        <v>0</v>
      </c>
      <c r="CK99" s="39">
        <v>0</v>
      </c>
      <c r="CL99" s="39">
        <v>0</v>
      </c>
      <c r="CM99" s="39"/>
      <c r="CN99" s="39"/>
      <c r="CO99" s="39"/>
      <c r="CP99" s="39"/>
      <c r="CQ99" s="39">
        <v>3.8</v>
      </c>
      <c r="CR99" s="39">
        <v>1</v>
      </c>
      <c r="CS99" s="39">
        <v>1.8</v>
      </c>
      <c r="CT99" s="39">
        <v>1.2</v>
      </c>
      <c r="CU99" s="39">
        <v>0</v>
      </c>
      <c r="CV99" s="39">
        <v>0</v>
      </c>
      <c r="CW99" s="39"/>
      <c r="CX99" s="39"/>
      <c r="CY99" s="39"/>
      <c r="CZ99" s="39">
        <v>1500</v>
      </c>
      <c r="DA99" s="39">
        <v>800</v>
      </c>
      <c r="DB99" s="39"/>
      <c r="DC99" s="39">
        <v>1300</v>
      </c>
      <c r="DD99" s="39">
        <v>0</v>
      </c>
      <c r="DE99" s="39">
        <v>0</v>
      </c>
      <c r="DF99" s="39"/>
      <c r="DG99" s="39"/>
      <c r="DH99" s="39"/>
      <c r="DI99" s="39">
        <v>2</v>
      </c>
      <c r="DJ99" s="39">
        <v>6</v>
      </c>
      <c r="DK99" s="39">
        <v>6</v>
      </c>
      <c r="DL99" s="39">
        <v>0</v>
      </c>
      <c r="DM99" s="39">
        <v>0</v>
      </c>
      <c r="DN99" s="39">
        <v>0</v>
      </c>
      <c r="DO99" s="39">
        <v>0</v>
      </c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>
        <v>1</v>
      </c>
      <c r="EK99" s="39">
        <v>0</v>
      </c>
      <c r="EL99" s="39">
        <v>0.5</v>
      </c>
      <c r="EM99" s="39">
        <v>0.3</v>
      </c>
      <c r="EN99" s="39">
        <v>0</v>
      </c>
      <c r="EO99" s="39">
        <v>0.2</v>
      </c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>
        <v>400</v>
      </c>
      <c r="FL99" s="39">
        <v>400</v>
      </c>
      <c r="FM99" s="39">
        <v>0</v>
      </c>
      <c r="FN99" s="39">
        <v>0</v>
      </c>
      <c r="FO99" s="39"/>
      <c r="FP99" s="39">
        <v>0</v>
      </c>
      <c r="FQ99" s="39"/>
      <c r="FR99" s="39"/>
      <c r="FS99" s="39">
        <f t="shared" si="31"/>
        <v>0</v>
      </c>
      <c r="FT99" s="39">
        <v>1</v>
      </c>
      <c r="FU99" s="39"/>
      <c r="FV99" s="39">
        <v>0</v>
      </c>
      <c r="FW99" s="39"/>
      <c r="FX99" s="39">
        <v>0</v>
      </c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>
        <v>1</v>
      </c>
      <c r="IE99" s="54"/>
      <c r="IF99" s="43">
        <f t="shared" si="32"/>
        <v>3.4</v>
      </c>
      <c r="IG99" s="43">
        <f t="shared" si="33"/>
        <v>3.4</v>
      </c>
      <c r="IH99" s="43">
        <f t="shared" si="34"/>
        <v>0</v>
      </c>
      <c r="II99" s="43">
        <f t="shared" si="35"/>
        <v>0</v>
      </c>
      <c r="IJ99" s="43">
        <f t="shared" si="36"/>
        <v>0</v>
      </c>
      <c r="IK99" s="40">
        <f t="shared" si="18"/>
        <v>0</v>
      </c>
      <c r="IL99" s="40">
        <f t="shared" si="37"/>
        <v>0</v>
      </c>
      <c r="IM99" s="40">
        <f t="shared" si="37"/>
        <v>0</v>
      </c>
      <c r="IN99" s="40">
        <f t="shared" si="38"/>
        <v>4.8</v>
      </c>
      <c r="IO99" s="40">
        <f t="shared" si="39"/>
        <v>1</v>
      </c>
      <c r="IP99" s="40">
        <f t="shared" si="40"/>
        <v>2.2999999999999998</v>
      </c>
      <c r="IQ99" s="40">
        <f t="shared" si="41"/>
        <v>1.5</v>
      </c>
      <c r="IR99" s="40">
        <f t="shared" si="42"/>
        <v>0</v>
      </c>
      <c r="IS99" s="40">
        <f t="shared" si="43"/>
        <v>0.2</v>
      </c>
      <c r="IT99" s="40">
        <f t="shared" si="44"/>
        <v>0</v>
      </c>
      <c r="IU99" s="40">
        <f t="shared" si="45"/>
        <v>0</v>
      </c>
      <c r="IV99" s="39">
        <v>1.8</v>
      </c>
      <c r="IW99" s="44">
        <v>1</v>
      </c>
      <c r="IX99" s="39"/>
    </row>
    <row r="100" spans="1:258" s="55" customFormat="1">
      <c r="A100" s="37">
        <v>94</v>
      </c>
      <c r="B100" s="38" t="s">
        <v>176</v>
      </c>
      <c r="C100" s="38" t="s">
        <v>170</v>
      </c>
      <c r="D100" s="38" t="s">
        <v>173</v>
      </c>
      <c r="E100" s="39">
        <v>49.2</v>
      </c>
      <c r="F100" s="40"/>
      <c r="G100" s="40">
        <v>55</v>
      </c>
      <c r="H100" s="40"/>
      <c r="I100" s="40">
        <v>55</v>
      </c>
      <c r="J100" s="40">
        <v>0</v>
      </c>
      <c r="K100" s="40"/>
      <c r="L100" s="40"/>
      <c r="M100" s="40"/>
      <c r="N100" s="40"/>
      <c r="O100" s="39"/>
      <c r="P100" s="39">
        <v>55</v>
      </c>
      <c r="Q100" s="39">
        <v>0</v>
      </c>
      <c r="R100" s="43"/>
      <c r="S100" s="43"/>
      <c r="T100" s="43"/>
      <c r="U100" s="43"/>
      <c r="V100" s="40">
        <v>0</v>
      </c>
      <c r="W100" s="40">
        <v>0</v>
      </c>
      <c r="X100" s="40">
        <v>0</v>
      </c>
      <c r="Y100" s="41">
        <v>0</v>
      </c>
      <c r="Z100" s="41"/>
      <c r="AA100" s="41"/>
      <c r="AB100" s="41"/>
      <c r="AC100" s="41"/>
      <c r="AD100" s="39">
        <v>0</v>
      </c>
      <c r="AE100" s="39">
        <v>0</v>
      </c>
      <c r="AF100" s="39">
        <v>0</v>
      </c>
      <c r="AG100" s="43"/>
      <c r="AH100" s="43"/>
      <c r="AI100" s="43"/>
      <c r="AJ100" s="43"/>
      <c r="AK100" s="40">
        <v>202</v>
      </c>
      <c r="AL100" s="40"/>
      <c r="AM100" s="40">
        <v>167</v>
      </c>
      <c r="AN100" s="40">
        <v>0</v>
      </c>
      <c r="AO100" s="40">
        <v>25</v>
      </c>
      <c r="AP100" s="40">
        <v>10</v>
      </c>
      <c r="AQ100" s="40"/>
      <c r="AR100" s="40"/>
      <c r="AS100" s="39"/>
      <c r="AT100" s="39">
        <v>0</v>
      </c>
      <c r="AU100" s="39">
        <v>167</v>
      </c>
      <c r="AV100" s="43"/>
      <c r="AW100" s="43">
        <v>35</v>
      </c>
      <c r="AX100" s="43"/>
      <c r="AY100" s="43"/>
      <c r="AZ100" s="40">
        <v>29</v>
      </c>
      <c r="BA100" s="40"/>
      <c r="BB100" s="40">
        <v>29</v>
      </c>
      <c r="BC100" s="40">
        <v>0</v>
      </c>
      <c r="BD100" s="40"/>
      <c r="BE100" s="40"/>
      <c r="BF100" s="40"/>
      <c r="BG100" s="40"/>
      <c r="BH100" s="40"/>
      <c r="BI100" s="40">
        <v>29</v>
      </c>
      <c r="BJ100" s="40">
        <v>0</v>
      </c>
      <c r="BK100" s="39">
        <v>0</v>
      </c>
      <c r="BL100" s="39">
        <v>0</v>
      </c>
      <c r="BM100" s="39"/>
      <c r="BN100" s="39"/>
      <c r="BO100" s="39">
        <v>1</v>
      </c>
      <c r="BP100" s="39">
        <v>0</v>
      </c>
      <c r="BQ100" s="39">
        <v>1</v>
      </c>
      <c r="BR100" s="39">
        <v>0</v>
      </c>
      <c r="BS100" s="39"/>
      <c r="BT100" s="39"/>
      <c r="BU100" s="39"/>
      <c r="BV100" s="39"/>
      <c r="BW100" s="39"/>
      <c r="BX100" s="39">
        <v>0.5</v>
      </c>
      <c r="BY100" s="39">
        <v>0.5</v>
      </c>
      <c r="BZ100" s="39"/>
      <c r="CA100" s="39">
        <v>0</v>
      </c>
      <c r="CB100" s="39">
        <v>0</v>
      </c>
      <c r="CC100" s="39">
        <v>0</v>
      </c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>
        <v>4.4000000000000004</v>
      </c>
      <c r="CR100" s="39">
        <v>0</v>
      </c>
      <c r="CS100" s="39">
        <v>0</v>
      </c>
      <c r="CT100" s="39">
        <v>3</v>
      </c>
      <c r="CU100" s="39">
        <v>0</v>
      </c>
      <c r="CV100" s="39">
        <v>1.4</v>
      </c>
      <c r="CW100" s="39"/>
      <c r="CX100" s="39"/>
      <c r="CY100" s="39"/>
      <c r="CZ100" s="39">
        <v>250</v>
      </c>
      <c r="DA100" s="39">
        <v>0</v>
      </c>
      <c r="DB100" s="39">
        <v>0</v>
      </c>
      <c r="DC100" s="39">
        <v>200</v>
      </c>
      <c r="DD100" s="39">
        <v>0</v>
      </c>
      <c r="DE100" s="39">
        <v>50</v>
      </c>
      <c r="DF100" s="39"/>
      <c r="DG100" s="39"/>
      <c r="DH100" s="39"/>
      <c r="DI100" s="39">
        <v>5</v>
      </c>
      <c r="DJ100" s="39">
        <v>5</v>
      </c>
      <c r="DK100" s="39">
        <v>5</v>
      </c>
      <c r="DL100" s="39">
        <v>0</v>
      </c>
      <c r="DM100" s="39">
        <v>0</v>
      </c>
      <c r="DN100" s="39">
        <v>0</v>
      </c>
      <c r="DO100" s="39">
        <v>0</v>
      </c>
      <c r="DP100" s="39"/>
      <c r="DQ100" s="39"/>
      <c r="DR100" s="39"/>
      <c r="DS100" s="42"/>
      <c r="DT100" s="42"/>
      <c r="DU100" s="42"/>
      <c r="DV100" s="42"/>
      <c r="DW100" s="42"/>
      <c r="DX100" s="42"/>
      <c r="DY100" s="42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>
        <v>0.7</v>
      </c>
      <c r="EK100" s="39">
        <v>0</v>
      </c>
      <c r="EL100" s="39"/>
      <c r="EM100" s="39">
        <v>0.5</v>
      </c>
      <c r="EN100" s="39">
        <v>0</v>
      </c>
      <c r="EO100" s="39">
        <v>0.2</v>
      </c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>
        <f t="shared" si="31"/>
        <v>0</v>
      </c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  <c r="GN100" s="39"/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>
        <v>1</v>
      </c>
      <c r="HM100" s="39">
        <v>0</v>
      </c>
      <c r="HN100" s="39">
        <v>0</v>
      </c>
      <c r="HO100" s="39">
        <v>0</v>
      </c>
      <c r="HP100" s="39"/>
      <c r="HQ100" s="39">
        <v>1</v>
      </c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54"/>
      <c r="IF100" s="43">
        <f t="shared" si="32"/>
        <v>0.5</v>
      </c>
      <c r="IG100" s="43">
        <f t="shared" si="33"/>
        <v>0.5</v>
      </c>
      <c r="IH100" s="43">
        <f t="shared" si="34"/>
        <v>0</v>
      </c>
      <c r="II100" s="43">
        <f t="shared" si="35"/>
        <v>0</v>
      </c>
      <c r="IJ100" s="43">
        <f t="shared" si="36"/>
        <v>0</v>
      </c>
      <c r="IK100" s="40">
        <f t="shared" si="18"/>
        <v>0</v>
      </c>
      <c r="IL100" s="40">
        <f t="shared" si="37"/>
        <v>0</v>
      </c>
      <c r="IM100" s="40">
        <f t="shared" si="37"/>
        <v>0</v>
      </c>
      <c r="IN100" s="40">
        <f t="shared" si="38"/>
        <v>5.1000000000000005</v>
      </c>
      <c r="IO100" s="40">
        <f t="shared" si="39"/>
        <v>0</v>
      </c>
      <c r="IP100" s="40">
        <f t="shared" si="40"/>
        <v>0</v>
      </c>
      <c r="IQ100" s="40">
        <f t="shared" si="41"/>
        <v>3.5</v>
      </c>
      <c r="IR100" s="40">
        <f t="shared" si="42"/>
        <v>0</v>
      </c>
      <c r="IS100" s="40">
        <f t="shared" si="43"/>
        <v>1.5999999999999999</v>
      </c>
      <c r="IT100" s="40">
        <f t="shared" si="44"/>
        <v>0</v>
      </c>
      <c r="IU100" s="40">
        <f t="shared" si="45"/>
        <v>0</v>
      </c>
      <c r="IV100" s="39">
        <v>7.8</v>
      </c>
      <c r="IW100" s="44">
        <v>1</v>
      </c>
      <c r="IX100" s="39"/>
    </row>
    <row r="101" spans="1:258" s="55" customFormat="1">
      <c r="A101" s="37">
        <v>95</v>
      </c>
      <c r="B101" s="38" t="s">
        <v>177</v>
      </c>
      <c r="C101" s="38" t="s">
        <v>170</v>
      </c>
      <c r="D101" s="38" t="s">
        <v>173</v>
      </c>
      <c r="E101" s="39">
        <v>29.5</v>
      </c>
      <c r="F101" s="40"/>
      <c r="G101" s="40">
        <v>50</v>
      </c>
      <c r="H101" s="40"/>
      <c r="I101" s="40">
        <v>50</v>
      </c>
      <c r="J101" s="40">
        <v>0</v>
      </c>
      <c r="K101" s="40"/>
      <c r="L101" s="40"/>
      <c r="M101" s="40"/>
      <c r="N101" s="40"/>
      <c r="O101" s="39"/>
      <c r="P101" s="39">
        <v>50</v>
      </c>
      <c r="Q101" s="39">
        <v>0</v>
      </c>
      <c r="R101" s="43"/>
      <c r="S101" s="43"/>
      <c r="T101" s="43"/>
      <c r="U101" s="43"/>
      <c r="V101" s="40">
        <v>0</v>
      </c>
      <c r="W101" s="40">
        <v>0</v>
      </c>
      <c r="X101" s="40">
        <v>0</v>
      </c>
      <c r="Y101" s="41">
        <v>0</v>
      </c>
      <c r="Z101" s="41"/>
      <c r="AA101" s="41"/>
      <c r="AB101" s="41"/>
      <c r="AC101" s="41"/>
      <c r="AD101" s="39">
        <v>0</v>
      </c>
      <c r="AE101" s="39">
        <v>0</v>
      </c>
      <c r="AF101" s="39">
        <v>0</v>
      </c>
      <c r="AG101" s="43"/>
      <c r="AH101" s="43"/>
      <c r="AI101" s="43"/>
      <c r="AJ101" s="43"/>
      <c r="AK101" s="40">
        <v>350</v>
      </c>
      <c r="AL101" s="40"/>
      <c r="AM101" s="40">
        <v>350</v>
      </c>
      <c r="AN101" s="40">
        <v>0</v>
      </c>
      <c r="AO101" s="40">
        <v>0</v>
      </c>
      <c r="AP101" s="40">
        <v>0</v>
      </c>
      <c r="AQ101" s="40"/>
      <c r="AR101" s="40"/>
      <c r="AS101" s="39"/>
      <c r="AT101" s="39">
        <v>300</v>
      </c>
      <c r="AU101" s="39">
        <v>50</v>
      </c>
      <c r="AV101" s="43"/>
      <c r="AW101" s="43">
        <v>0</v>
      </c>
      <c r="AX101" s="43"/>
      <c r="AY101" s="43"/>
      <c r="AZ101" s="40">
        <v>410</v>
      </c>
      <c r="BA101" s="40"/>
      <c r="BB101" s="40">
        <v>410</v>
      </c>
      <c r="BC101" s="40">
        <v>0</v>
      </c>
      <c r="BD101" s="40"/>
      <c r="BE101" s="40"/>
      <c r="BF101" s="40"/>
      <c r="BG101" s="40"/>
      <c r="BH101" s="40"/>
      <c r="BI101" s="40">
        <v>410</v>
      </c>
      <c r="BJ101" s="40">
        <v>0</v>
      </c>
      <c r="BK101" s="39">
        <v>0</v>
      </c>
      <c r="BL101" s="39">
        <v>0</v>
      </c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>
        <v>5.7</v>
      </c>
      <c r="CR101" s="39">
        <v>0</v>
      </c>
      <c r="CS101" s="39">
        <v>3</v>
      </c>
      <c r="CT101" s="39">
        <v>2</v>
      </c>
      <c r="CU101" s="39">
        <v>0</v>
      </c>
      <c r="CV101" s="39">
        <v>0.7</v>
      </c>
      <c r="CW101" s="39"/>
      <c r="CX101" s="39"/>
      <c r="CY101" s="39"/>
      <c r="CZ101" s="39">
        <v>800</v>
      </c>
      <c r="DA101" s="39">
        <v>0</v>
      </c>
      <c r="DB101" s="39">
        <v>500</v>
      </c>
      <c r="DC101" s="39">
        <v>100</v>
      </c>
      <c r="DD101" s="39">
        <v>0</v>
      </c>
      <c r="DE101" s="39">
        <v>200</v>
      </c>
      <c r="DF101" s="39"/>
      <c r="DG101" s="39"/>
      <c r="DH101" s="39"/>
      <c r="DI101" s="39">
        <v>3</v>
      </c>
      <c r="DJ101" s="39">
        <v>20</v>
      </c>
      <c r="DK101" s="39">
        <v>13</v>
      </c>
      <c r="DL101" s="39">
        <v>2</v>
      </c>
      <c r="DM101" s="39">
        <v>3</v>
      </c>
      <c r="DN101" s="39">
        <v>2</v>
      </c>
      <c r="DO101" s="39">
        <v>0</v>
      </c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>
        <v>1</v>
      </c>
      <c r="EK101" s="39">
        <v>0</v>
      </c>
      <c r="EL101" s="39">
        <v>1.3</v>
      </c>
      <c r="EM101" s="39">
        <v>0</v>
      </c>
      <c r="EN101" s="39">
        <v>0</v>
      </c>
      <c r="EO101" s="39">
        <v>0</v>
      </c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>
        <v>500</v>
      </c>
      <c r="FL101" s="39"/>
      <c r="FM101" s="39">
        <v>500</v>
      </c>
      <c r="FN101" s="39">
        <v>0</v>
      </c>
      <c r="FO101" s="39"/>
      <c r="FP101" s="39">
        <v>0</v>
      </c>
      <c r="FQ101" s="39"/>
      <c r="FR101" s="39"/>
      <c r="FS101" s="39">
        <f t="shared" si="31"/>
        <v>0</v>
      </c>
      <c r="FT101" s="39">
        <v>1</v>
      </c>
      <c r="FU101" s="39">
        <v>0</v>
      </c>
      <c r="FV101" s="39">
        <v>0</v>
      </c>
      <c r="FW101" s="39"/>
      <c r="FX101" s="39">
        <v>0</v>
      </c>
      <c r="FY101" s="39"/>
      <c r="FZ101" s="39"/>
      <c r="GA101" s="39"/>
      <c r="GB101" s="39"/>
      <c r="GC101" s="39"/>
      <c r="GD101" s="39"/>
      <c r="GE101" s="39"/>
      <c r="GF101" s="39"/>
      <c r="GG101" s="39"/>
      <c r="GH101" s="39"/>
      <c r="GI101" s="39"/>
      <c r="GJ101" s="39"/>
      <c r="GK101" s="39"/>
      <c r="GL101" s="39"/>
      <c r="GM101" s="39"/>
      <c r="GN101" s="39"/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42"/>
      <c r="HM101" s="42"/>
      <c r="HN101" s="42"/>
      <c r="HO101" s="42"/>
      <c r="HP101" s="42"/>
      <c r="HQ101" s="42"/>
      <c r="HR101" s="42"/>
      <c r="HS101" s="42"/>
      <c r="HT101" s="42"/>
      <c r="HU101" s="42"/>
      <c r="HV101" s="42"/>
      <c r="HW101" s="42"/>
      <c r="HX101" s="42"/>
      <c r="HY101" s="42"/>
      <c r="HZ101" s="42"/>
      <c r="IA101" s="42"/>
      <c r="IB101" s="42"/>
      <c r="IC101" s="42"/>
      <c r="ID101" s="42"/>
      <c r="IE101" s="54"/>
      <c r="IF101" s="43">
        <f t="shared" si="32"/>
        <v>0</v>
      </c>
      <c r="IG101" s="43">
        <f t="shared" si="33"/>
        <v>0</v>
      </c>
      <c r="IH101" s="43">
        <f t="shared" si="34"/>
        <v>0</v>
      </c>
      <c r="II101" s="43">
        <f t="shared" si="35"/>
        <v>0</v>
      </c>
      <c r="IJ101" s="43">
        <f t="shared" si="36"/>
        <v>0</v>
      </c>
      <c r="IK101" s="40">
        <f t="shared" si="18"/>
        <v>0</v>
      </c>
      <c r="IL101" s="40">
        <f t="shared" si="37"/>
        <v>0</v>
      </c>
      <c r="IM101" s="40">
        <f t="shared" si="37"/>
        <v>0</v>
      </c>
      <c r="IN101" s="40">
        <f t="shared" si="38"/>
        <v>6.7</v>
      </c>
      <c r="IO101" s="40">
        <f t="shared" si="39"/>
        <v>0</v>
      </c>
      <c r="IP101" s="40">
        <f t="shared" si="40"/>
        <v>4.3</v>
      </c>
      <c r="IQ101" s="40">
        <f t="shared" si="41"/>
        <v>2</v>
      </c>
      <c r="IR101" s="40">
        <f t="shared" si="42"/>
        <v>0</v>
      </c>
      <c r="IS101" s="40">
        <f t="shared" si="43"/>
        <v>0.7</v>
      </c>
      <c r="IT101" s="40">
        <f t="shared" si="44"/>
        <v>0</v>
      </c>
      <c r="IU101" s="40">
        <f t="shared" si="45"/>
        <v>0</v>
      </c>
      <c r="IV101" s="39">
        <v>9.6999999999999993</v>
      </c>
      <c r="IW101" s="44">
        <v>1</v>
      </c>
      <c r="IX101" s="39"/>
    </row>
    <row r="102" spans="1:258" s="55" customFormat="1">
      <c r="A102" s="37">
        <v>96</v>
      </c>
      <c r="B102" s="38" t="s">
        <v>178</v>
      </c>
      <c r="C102" s="38" t="s">
        <v>170</v>
      </c>
      <c r="D102" s="38" t="s">
        <v>179</v>
      </c>
      <c r="E102" s="39">
        <v>21</v>
      </c>
      <c r="F102" s="40"/>
      <c r="G102" s="40">
        <v>200</v>
      </c>
      <c r="H102" s="40"/>
      <c r="I102" s="40">
        <v>200</v>
      </c>
      <c r="J102" s="40">
        <v>0</v>
      </c>
      <c r="K102" s="40"/>
      <c r="L102" s="40"/>
      <c r="M102" s="40"/>
      <c r="N102" s="40"/>
      <c r="O102" s="39"/>
      <c r="P102" s="39">
        <v>200</v>
      </c>
      <c r="Q102" s="39">
        <v>0</v>
      </c>
      <c r="R102" s="43"/>
      <c r="S102" s="43"/>
      <c r="T102" s="43"/>
      <c r="U102" s="43"/>
      <c r="V102" s="40">
        <v>300</v>
      </c>
      <c r="W102" s="40">
        <v>0</v>
      </c>
      <c r="X102" s="40">
        <v>0</v>
      </c>
      <c r="Y102" s="41">
        <v>300</v>
      </c>
      <c r="Z102" s="41"/>
      <c r="AA102" s="41"/>
      <c r="AB102" s="41"/>
      <c r="AC102" s="41"/>
      <c r="AD102" s="39">
        <v>0</v>
      </c>
      <c r="AE102" s="39">
        <v>0</v>
      </c>
      <c r="AF102" s="39">
        <v>0</v>
      </c>
      <c r="AG102" s="43"/>
      <c r="AH102" s="43">
        <v>300</v>
      </c>
      <c r="AI102" s="43"/>
      <c r="AJ102" s="43"/>
      <c r="AK102" s="40">
        <v>103</v>
      </c>
      <c r="AL102" s="40"/>
      <c r="AM102" s="40">
        <v>24</v>
      </c>
      <c r="AN102" s="40">
        <v>0</v>
      </c>
      <c r="AO102" s="40">
        <v>50</v>
      </c>
      <c r="AP102" s="40">
        <v>29</v>
      </c>
      <c r="AQ102" s="40"/>
      <c r="AR102" s="40"/>
      <c r="AS102" s="39"/>
      <c r="AT102" s="39">
        <v>24</v>
      </c>
      <c r="AU102" s="39">
        <v>0</v>
      </c>
      <c r="AV102" s="43"/>
      <c r="AW102" s="43">
        <v>79</v>
      </c>
      <c r="AX102" s="43"/>
      <c r="AY102" s="43"/>
      <c r="AZ102" s="40">
        <v>30</v>
      </c>
      <c r="BA102" s="40"/>
      <c r="BB102" s="40">
        <v>30</v>
      </c>
      <c r="BC102" s="40">
        <v>0</v>
      </c>
      <c r="BD102" s="40"/>
      <c r="BE102" s="40"/>
      <c r="BF102" s="40"/>
      <c r="BG102" s="40"/>
      <c r="BH102" s="40"/>
      <c r="BI102" s="40">
        <v>30</v>
      </c>
      <c r="BJ102" s="40">
        <v>0</v>
      </c>
      <c r="BK102" s="39">
        <v>0</v>
      </c>
      <c r="BL102" s="39">
        <v>0</v>
      </c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>
        <v>1.4</v>
      </c>
      <c r="CR102" s="39">
        <v>0</v>
      </c>
      <c r="CS102" s="39">
        <v>0.6</v>
      </c>
      <c r="CT102" s="39">
        <v>0.8</v>
      </c>
      <c r="CU102" s="39">
        <v>0</v>
      </c>
      <c r="CV102" s="39">
        <v>0</v>
      </c>
      <c r="CW102" s="39"/>
      <c r="CX102" s="39"/>
      <c r="CY102" s="39"/>
      <c r="CZ102" s="39">
        <v>288</v>
      </c>
      <c r="DA102" s="39">
        <v>0</v>
      </c>
      <c r="DB102" s="39">
        <v>96</v>
      </c>
      <c r="DC102" s="39">
        <v>192</v>
      </c>
      <c r="DD102" s="39">
        <v>0</v>
      </c>
      <c r="DE102" s="39">
        <v>0</v>
      </c>
      <c r="DF102" s="39"/>
      <c r="DG102" s="39"/>
      <c r="DH102" s="39"/>
      <c r="DI102" s="39">
        <v>3</v>
      </c>
      <c r="DJ102" s="39">
        <v>3</v>
      </c>
      <c r="DK102" s="39">
        <v>3</v>
      </c>
      <c r="DL102" s="39">
        <v>0</v>
      </c>
      <c r="DM102" s="39">
        <v>0</v>
      </c>
      <c r="DN102" s="39">
        <v>0</v>
      </c>
      <c r="DO102" s="39">
        <v>0</v>
      </c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>
        <v>0.8</v>
      </c>
      <c r="EK102" s="39">
        <v>0</v>
      </c>
      <c r="EL102" s="39">
        <v>0.3</v>
      </c>
      <c r="EM102" s="39">
        <v>0.6</v>
      </c>
      <c r="EN102" s="39">
        <v>0</v>
      </c>
      <c r="EO102" s="39">
        <v>0</v>
      </c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>
        <f t="shared" si="31"/>
        <v>0</v>
      </c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 s="39"/>
      <c r="GL102" s="39"/>
      <c r="GM102" s="39"/>
      <c r="GN102" s="39"/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54"/>
      <c r="IF102" s="43">
        <f t="shared" si="32"/>
        <v>0</v>
      </c>
      <c r="IG102" s="43">
        <f t="shared" si="33"/>
        <v>0</v>
      </c>
      <c r="IH102" s="43">
        <f t="shared" si="34"/>
        <v>0</v>
      </c>
      <c r="II102" s="43">
        <f t="shared" si="35"/>
        <v>0</v>
      </c>
      <c r="IJ102" s="43">
        <f t="shared" si="36"/>
        <v>0</v>
      </c>
      <c r="IK102" s="40">
        <f t="shared" ref="IK102:IK128" si="46">CC102+CL102+GG102+GP102+GY102</f>
        <v>0</v>
      </c>
      <c r="IL102" s="40">
        <f t="shared" si="37"/>
        <v>0</v>
      </c>
      <c r="IM102" s="40">
        <f t="shared" si="37"/>
        <v>0</v>
      </c>
      <c r="IN102" s="40">
        <f t="shared" si="38"/>
        <v>2.2000000000000002</v>
      </c>
      <c r="IO102" s="40">
        <f t="shared" si="39"/>
        <v>0</v>
      </c>
      <c r="IP102" s="40">
        <f t="shared" si="40"/>
        <v>0.89999999999999991</v>
      </c>
      <c r="IQ102" s="40">
        <f t="shared" si="41"/>
        <v>1.4</v>
      </c>
      <c r="IR102" s="40">
        <f t="shared" si="42"/>
        <v>0</v>
      </c>
      <c r="IS102" s="40">
        <f t="shared" si="43"/>
        <v>0</v>
      </c>
      <c r="IT102" s="40">
        <f t="shared" si="44"/>
        <v>0</v>
      </c>
      <c r="IU102" s="40">
        <f t="shared" si="45"/>
        <v>0</v>
      </c>
      <c r="IV102" s="39">
        <v>4</v>
      </c>
      <c r="IW102" s="44">
        <v>1</v>
      </c>
      <c r="IX102" s="39"/>
    </row>
    <row r="103" spans="1:258" s="55" customFormat="1">
      <c r="A103" s="45">
        <v>97</v>
      </c>
      <c r="B103" s="38" t="s">
        <v>180</v>
      </c>
      <c r="C103" s="38" t="s">
        <v>170</v>
      </c>
      <c r="D103" s="38" t="s">
        <v>179</v>
      </c>
      <c r="E103" s="39">
        <v>34.299999999999997</v>
      </c>
      <c r="F103" s="40"/>
      <c r="G103" s="40">
        <v>50</v>
      </c>
      <c r="H103" s="40"/>
      <c r="I103" s="40">
        <v>50</v>
      </c>
      <c r="J103" s="40">
        <v>0</v>
      </c>
      <c r="K103" s="40"/>
      <c r="L103" s="40"/>
      <c r="M103" s="40"/>
      <c r="N103" s="40"/>
      <c r="O103" s="39"/>
      <c r="P103" s="39">
        <v>50</v>
      </c>
      <c r="Q103" s="39">
        <v>0</v>
      </c>
      <c r="R103" s="43"/>
      <c r="S103" s="43"/>
      <c r="T103" s="43"/>
      <c r="U103" s="43"/>
      <c r="V103" s="40">
        <v>0</v>
      </c>
      <c r="W103" s="40">
        <v>0</v>
      </c>
      <c r="X103" s="40">
        <v>0</v>
      </c>
      <c r="Y103" s="41">
        <v>0</v>
      </c>
      <c r="Z103" s="41"/>
      <c r="AA103" s="41"/>
      <c r="AB103" s="41"/>
      <c r="AC103" s="41"/>
      <c r="AD103" s="39">
        <v>0</v>
      </c>
      <c r="AE103" s="39">
        <v>0</v>
      </c>
      <c r="AF103" s="39">
        <v>0</v>
      </c>
      <c r="AG103" s="43"/>
      <c r="AH103" s="43"/>
      <c r="AI103" s="43"/>
      <c r="AJ103" s="43"/>
      <c r="AK103" s="40">
        <v>130</v>
      </c>
      <c r="AL103" s="40"/>
      <c r="AM103" s="40">
        <v>75</v>
      </c>
      <c r="AN103" s="40">
        <v>0</v>
      </c>
      <c r="AO103" s="40">
        <v>0</v>
      </c>
      <c r="AP103" s="40">
        <v>55</v>
      </c>
      <c r="AQ103" s="40"/>
      <c r="AR103" s="40"/>
      <c r="AS103" s="39"/>
      <c r="AT103" s="39">
        <v>0</v>
      </c>
      <c r="AU103" s="39">
        <v>75</v>
      </c>
      <c r="AV103" s="43"/>
      <c r="AW103" s="43">
        <v>55</v>
      </c>
      <c r="AX103" s="43"/>
      <c r="AY103" s="43"/>
      <c r="AZ103" s="40">
        <v>25</v>
      </c>
      <c r="BA103" s="40"/>
      <c r="BB103" s="40">
        <v>25</v>
      </c>
      <c r="BC103" s="40">
        <v>0</v>
      </c>
      <c r="BD103" s="40"/>
      <c r="BE103" s="40"/>
      <c r="BF103" s="40"/>
      <c r="BG103" s="40"/>
      <c r="BH103" s="40"/>
      <c r="BI103" s="40">
        <v>25</v>
      </c>
      <c r="BJ103" s="40">
        <v>0</v>
      </c>
      <c r="BK103" s="39">
        <v>0</v>
      </c>
      <c r="BL103" s="39">
        <v>0</v>
      </c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>
        <v>0</v>
      </c>
      <c r="CI103" s="39"/>
      <c r="CJ103" s="39"/>
      <c r="CK103" s="39"/>
      <c r="CL103" s="39"/>
      <c r="CM103" s="39"/>
      <c r="CN103" s="39"/>
      <c r="CO103" s="39"/>
      <c r="CP103" s="39"/>
      <c r="CQ103" s="39">
        <v>2.5</v>
      </c>
      <c r="CR103" s="39">
        <v>0</v>
      </c>
      <c r="CS103" s="39">
        <v>0</v>
      </c>
      <c r="CT103" s="39">
        <v>2</v>
      </c>
      <c r="CU103" s="39">
        <v>0</v>
      </c>
      <c r="CV103" s="39">
        <v>0.5</v>
      </c>
      <c r="CW103" s="39"/>
      <c r="CX103" s="39"/>
      <c r="CY103" s="39"/>
      <c r="CZ103" s="39">
        <v>500</v>
      </c>
      <c r="DA103" s="39">
        <v>0</v>
      </c>
      <c r="DB103" s="39">
        <v>0</v>
      </c>
      <c r="DC103" s="39">
        <v>400</v>
      </c>
      <c r="DD103" s="39">
        <v>0</v>
      </c>
      <c r="DE103" s="39">
        <v>100</v>
      </c>
      <c r="DF103" s="39"/>
      <c r="DG103" s="39"/>
      <c r="DH103" s="39"/>
      <c r="DI103" s="39">
        <v>1</v>
      </c>
      <c r="DJ103" s="39">
        <v>2</v>
      </c>
      <c r="DK103" s="39">
        <v>0</v>
      </c>
      <c r="DL103" s="39">
        <v>0</v>
      </c>
      <c r="DM103" s="39">
        <v>0</v>
      </c>
      <c r="DN103" s="39">
        <v>0</v>
      </c>
      <c r="DO103" s="39">
        <v>2</v>
      </c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>
        <v>0.5</v>
      </c>
      <c r="EK103" s="39">
        <v>0</v>
      </c>
      <c r="EL103" s="39">
        <v>0.2</v>
      </c>
      <c r="EM103" s="39">
        <v>0.1</v>
      </c>
      <c r="EN103" s="39">
        <v>0</v>
      </c>
      <c r="EO103" s="39">
        <v>0.2</v>
      </c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>
        <v>200</v>
      </c>
      <c r="FL103" s="39">
        <v>0</v>
      </c>
      <c r="FM103" s="39">
        <v>0</v>
      </c>
      <c r="FN103" s="39">
        <v>100</v>
      </c>
      <c r="FO103" s="39"/>
      <c r="FP103" s="39">
        <v>100</v>
      </c>
      <c r="FQ103" s="39"/>
      <c r="FR103" s="39"/>
      <c r="FS103" s="39">
        <f t="shared" si="31"/>
        <v>0</v>
      </c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 s="39"/>
      <c r="GL103" s="39"/>
      <c r="GM103" s="39"/>
      <c r="GN103" s="39"/>
      <c r="GO103" s="39"/>
      <c r="GP103" s="39"/>
      <c r="GQ103" s="39"/>
      <c r="GR103" s="39"/>
      <c r="GS103" s="39"/>
      <c r="GT103" s="39">
        <v>0.04</v>
      </c>
      <c r="GU103" s="39">
        <v>0</v>
      </c>
      <c r="GV103" s="39">
        <v>0</v>
      </c>
      <c r="GW103" s="39">
        <v>0</v>
      </c>
      <c r="GX103" s="39"/>
      <c r="GY103" s="39">
        <v>0.04</v>
      </c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54"/>
      <c r="IF103" s="43">
        <f t="shared" ref="IF103:IF128" si="47">BX103+CG103+GB103+GK103+GT103</f>
        <v>0.04</v>
      </c>
      <c r="IG103" s="43">
        <f t="shared" ref="IG103:IG128" si="48">BY103+CH103+GC103+GL103+GU103</f>
        <v>0</v>
      </c>
      <c r="IH103" s="43">
        <f t="shared" ref="IH103:IH128" si="49">BZ103+CI103+GD103+GM103+GV103</f>
        <v>0</v>
      </c>
      <c r="II103" s="43">
        <f t="shared" ref="II103:II128" si="50">CA103+CJ103+GE103+GN103+GW103</f>
        <v>0</v>
      </c>
      <c r="IJ103" s="43">
        <f t="shared" ref="IJ103:IJ128" si="51">CB103+CK103+GF103+GO103+GX103</f>
        <v>0</v>
      </c>
      <c r="IK103" s="40">
        <f t="shared" si="46"/>
        <v>0.04</v>
      </c>
      <c r="IL103" s="40">
        <f t="shared" si="37"/>
        <v>0</v>
      </c>
      <c r="IM103" s="40">
        <f t="shared" si="37"/>
        <v>0</v>
      </c>
      <c r="IN103" s="40">
        <f t="shared" si="38"/>
        <v>3</v>
      </c>
      <c r="IO103" s="40">
        <f t="shared" si="39"/>
        <v>0</v>
      </c>
      <c r="IP103" s="40">
        <f t="shared" si="40"/>
        <v>0.2</v>
      </c>
      <c r="IQ103" s="40">
        <f t="shared" si="41"/>
        <v>2.1</v>
      </c>
      <c r="IR103" s="40">
        <f t="shared" si="42"/>
        <v>0</v>
      </c>
      <c r="IS103" s="40">
        <f t="shared" si="43"/>
        <v>0.7</v>
      </c>
      <c r="IT103" s="40">
        <f t="shared" si="44"/>
        <v>0</v>
      </c>
      <c r="IU103" s="40">
        <f t="shared" si="45"/>
        <v>0</v>
      </c>
      <c r="IV103" s="39">
        <v>9.1999999999999993</v>
      </c>
      <c r="IW103" s="44">
        <v>1</v>
      </c>
      <c r="IX103" s="39"/>
    </row>
    <row r="104" spans="1:258" s="55" customFormat="1">
      <c r="A104" s="37">
        <v>98</v>
      </c>
      <c r="B104" s="38" t="s">
        <v>181</v>
      </c>
      <c r="C104" s="38" t="s">
        <v>170</v>
      </c>
      <c r="D104" s="38" t="s">
        <v>179</v>
      </c>
      <c r="E104" s="39">
        <v>7.3</v>
      </c>
      <c r="F104" s="40"/>
      <c r="G104" s="40">
        <v>80</v>
      </c>
      <c r="H104" s="40"/>
      <c r="I104" s="40">
        <v>80</v>
      </c>
      <c r="J104" s="40">
        <v>0</v>
      </c>
      <c r="K104" s="40"/>
      <c r="L104" s="40"/>
      <c r="M104" s="40"/>
      <c r="N104" s="40"/>
      <c r="O104" s="39"/>
      <c r="P104" s="39">
        <v>70</v>
      </c>
      <c r="Q104" s="39">
        <v>0</v>
      </c>
      <c r="R104" s="43"/>
      <c r="S104" s="43">
        <v>10</v>
      </c>
      <c r="T104" s="43"/>
      <c r="U104" s="43"/>
      <c r="V104" s="40">
        <v>0</v>
      </c>
      <c r="W104" s="40">
        <v>0</v>
      </c>
      <c r="X104" s="40">
        <v>0</v>
      </c>
      <c r="Y104" s="41">
        <v>0</v>
      </c>
      <c r="Z104" s="41"/>
      <c r="AA104" s="41"/>
      <c r="AB104" s="41"/>
      <c r="AC104" s="41"/>
      <c r="AD104" s="39">
        <v>0</v>
      </c>
      <c r="AE104" s="39">
        <v>0</v>
      </c>
      <c r="AF104" s="39">
        <v>0</v>
      </c>
      <c r="AG104" s="43"/>
      <c r="AH104" s="43"/>
      <c r="AI104" s="43"/>
      <c r="AJ104" s="43"/>
      <c r="AK104" s="40">
        <v>1100</v>
      </c>
      <c r="AL104" s="40"/>
      <c r="AM104" s="40">
        <v>360</v>
      </c>
      <c r="AN104" s="40">
        <v>0</v>
      </c>
      <c r="AO104" s="40">
        <v>180</v>
      </c>
      <c r="AP104" s="40">
        <v>560</v>
      </c>
      <c r="AQ104" s="40"/>
      <c r="AR104" s="40"/>
      <c r="AS104" s="39"/>
      <c r="AT104" s="39">
        <v>300</v>
      </c>
      <c r="AU104" s="39">
        <v>60</v>
      </c>
      <c r="AV104" s="43"/>
      <c r="AW104" s="43">
        <v>740</v>
      </c>
      <c r="AX104" s="43"/>
      <c r="AY104" s="43"/>
      <c r="AZ104" s="40">
        <v>25</v>
      </c>
      <c r="BA104" s="40"/>
      <c r="BB104" s="40">
        <v>25</v>
      </c>
      <c r="BC104" s="40">
        <v>0</v>
      </c>
      <c r="BD104" s="40"/>
      <c r="BE104" s="40"/>
      <c r="BF104" s="40"/>
      <c r="BG104" s="40"/>
      <c r="BH104" s="40"/>
      <c r="BI104" s="40">
        <v>25</v>
      </c>
      <c r="BJ104" s="40">
        <v>0</v>
      </c>
      <c r="BK104" s="39">
        <v>0</v>
      </c>
      <c r="BL104" s="39">
        <v>0</v>
      </c>
      <c r="BM104" s="39"/>
      <c r="BN104" s="39"/>
      <c r="BO104" s="39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39"/>
      <c r="CG104" s="39">
        <v>1.6</v>
      </c>
      <c r="CH104" s="39">
        <v>1.6</v>
      </c>
      <c r="CI104" s="39">
        <v>0.1</v>
      </c>
      <c r="CJ104" s="39">
        <v>1.5</v>
      </c>
      <c r="CK104" s="39">
        <v>0</v>
      </c>
      <c r="CL104" s="39">
        <v>0</v>
      </c>
      <c r="CM104" s="39"/>
      <c r="CN104" s="39"/>
      <c r="CO104" s="39"/>
      <c r="CP104" s="39"/>
      <c r="CQ104" s="39">
        <v>4.2</v>
      </c>
      <c r="CR104" s="39">
        <v>0</v>
      </c>
      <c r="CS104" s="39">
        <v>3</v>
      </c>
      <c r="CT104" s="39">
        <v>1</v>
      </c>
      <c r="CU104" s="39">
        <v>0</v>
      </c>
      <c r="CV104" s="39">
        <v>0.2</v>
      </c>
      <c r="CW104" s="39"/>
      <c r="CX104" s="39"/>
      <c r="CY104" s="39"/>
      <c r="CZ104" s="39">
        <v>500</v>
      </c>
      <c r="DA104" s="39">
        <v>0</v>
      </c>
      <c r="DB104" s="39">
        <v>300</v>
      </c>
      <c r="DC104" s="39">
        <v>200</v>
      </c>
      <c r="DD104" s="39">
        <v>0</v>
      </c>
      <c r="DE104" s="39">
        <v>0</v>
      </c>
      <c r="DF104" s="39"/>
      <c r="DG104" s="39"/>
      <c r="DH104" s="39"/>
      <c r="DI104" s="39">
        <v>1</v>
      </c>
      <c r="DJ104" s="39">
        <v>4</v>
      </c>
      <c r="DK104" s="39">
        <v>4</v>
      </c>
      <c r="DL104" s="39">
        <v>0</v>
      </c>
      <c r="DM104" s="39"/>
      <c r="DN104" s="39">
        <v>0</v>
      </c>
      <c r="DO104" s="39">
        <v>0</v>
      </c>
      <c r="DP104" s="39"/>
      <c r="DQ104" s="39"/>
      <c r="DR104" s="39"/>
      <c r="DS104" s="42"/>
      <c r="DT104" s="42"/>
      <c r="DU104" s="42"/>
      <c r="DV104" s="42"/>
      <c r="DW104" s="42"/>
      <c r="DX104" s="42"/>
      <c r="DY104" s="42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>
        <v>1</v>
      </c>
      <c r="EK104" s="39">
        <v>0</v>
      </c>
      <c r="EL104" s="39">
        <v>0.5</v>
      </c>
      <c r="EM104" s="39">
        <v>0</v>
      </c>
      <c r="EN104" s="39">
        <v>0</v>
      </c>
      <c r="EO104" s="39">
        <v>0.5</v>
      </c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>
        <v>200</v>
      </c>
      <c r="FL104" s="39"/>
      <c r="FM104" s="39">
        <v>200</v>
      </c>
      <c r="FN104" s="39">
        <v>0</v>
      </c>
      <c r="FO104" s="39"/>
      <c r="FP104" s="39">
        <v>0</v>
      </c>
      <c r="FQ104" s="39"/>
      <c r="FR104" s="39"/>
      <c r="FS104" s="39">
        <f t="shared" si="31"/>
        <v>0</v>
      </c>
      <c r="FT104" s="39">
        <v>3</v>
      </c>
      <c r="FU104" s="39">
        <v>5</v>
      </c>
      <c r="FV104" s="39">
        <v>0</v>
      </c>
      <c r="FW104" s="39"/>
      <c r="FX104" s="39">
        <v>1</v>
      </c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 s="39"/>
      <c r="GL104" s="39"/>
      <c r="GM104" s="39"/>
      <c r="GN104" s="39"/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>
        <v>0</v>
      </c>
      <c r="HI104" s="39">
        <v>1</v>
      </c>
      <c r="HJ104" s="39"/>
      <c r="HK104" s="39"/>
      <c r="HL104" s="42"/>
      <c r="HM104" s="42"/>
      <c r="HN104" s="42"/>
      <c r="HO104" s="42"/>
      <c r="HP104" s="42"/>
      <c r="HQ104" s="42"/>
      <c r="HR104" s="42"/>
      <c r="HS104" s="42"/>
      <c r="HT104" s="42"/>
      <c r="HU104" s="42"/>
      <c r="HV104" s="42"/>
      <c r="HW104" s="42"/>
      <c r="HX104" s="42"/>
      <c r="HY104" s="42"/>
      <c r="HZ104" s="42"/>
      <c r="IA104" s="42"/>
      <c r="IB104" s="42"/>
      <c r="IC104" s="42"/>
      <c r="ID104" s="42">
        <v>1</v>
      </c>
      <c r="IE104" s="54"/>
      <c r="IF104" s="43">
        <f t="shared" si="47"/>
        <v>1.6</v>
      </c>
      <c r="IG104" s="43">
        <f t="shared" si="48"/>
        <v>1.6</v>
      </c>
      <c r="IH104" s="43">
        <f t="shared" si="49"/>
        <v>0.1</v>
      </c>
      <c r="II104" s="43">
        <f t="shared" si="50"/>
        <v>1.5</v>
      </c>
      <c r="IJ104" s="43">
        <f t="shared" si="51"/>
        <v>0</v>
      </c>
      <c r="IK104" s="40">
        <f t="shared" si="46"/>
        <v>0</v>
      </c>
      <c r="IL104" s="40">
        <f t="shared" si="37"/>
        <v>0</v>
      </c>
      <c r="IM104" s="40">
        <f t="shared" si="37"/>
        <v>0</v>
      </c>
      <c r="IN104" s="40">
        <f t="shared" ref="IN104:IN128" si="52">CQ104+EA104+EJ104+ES104</f>
        <v>5.2</v>
      </c>
      <c r="IO104" s="40">
        <f t="shared" ref="IO104:IO128" si="53">CR104+EB104+EK104+ET104</f>
        <v>0</v>
      </c>
      <c r="IP104" s="40">
        <f t="shared" ref="IP104:IP128" si="54">CS104+EC104+EL104+EU104</f>
        <v>3.5</v>
      </c>
      <c r="IQ104" s="40">
        <f t="shared" ref="IQ104:IQ128" si="55">CT104+ED104+EM104+EV104</f>
        <v>1</v>
      </c>
      <c r="IR104" s="40">
        <f t="shared" ref="IR104:IR128" si="56">CU104+EE104+EN104+EW104</f>
        <v>0</v>
      </c>
      <c r="IS104" s="40">
        <f t="shared" ref="IS104:IS128" si="57">CV104+EF104+EO104+EX104</f>
        <v>0.7</v>
      </c>
      <c r="IT104" s="40">
        <f t="shared" ref="IT104:IT128" si="58">CW104+EG104+EP104+EY104</f>
        <v>0</v>
      </c>
      <c r="IU104" s="40">
        <f t="shared" si="45"/>
        <v>0</v>
      </c>
      <c r="IV104" s="39">
        <v>0.4</v>
      </c>
      <c r="IW104" s="44">
        <v>1</v>
      </c>
      <c r="IX104" s="39"/>
    </row>
    <row r="105" spans="1:258" s="55" customFormat="1">
      <c r="A105" s="37">
        <v>99</v>
      </c>
      <c r="B105" s="38" t="s">
        <v>182</v>
      </c>
      <c r="C105" s="38" t="s">
        <v>170</v>
      </c>
      <c r="D105" s="38" t="s">
        <v>179</v>
      </c>
      <c r="E105" s="39">
        <v>7.5</v>
      </c>
      <c r="F105" s="40"/>
      <c r="G105" s="40">
        <v>150</v>
      </c>
      <c r="H105" s="40"/>
      <c r="I105" s="40">
        <v>150</v>
      </c>
      <c r="J105" s="40">
        <v>0</v>
      </c>
      <c r="K105" s="40"/>
      <c r="L105" s="40"/>
      <c r="M105" s="40"/>
      <c r="N105" s="40"/>
      <c r="O105" s="39"/>
      <c r="P105" s="39">
        <v>150</v>
      </c>
      <c r="Q105" s="39">
        <v>0</v>
      </c>
      <c r="R105" s="43"/>
      <c r="S105" s="43"/>
      <c r="T105" s="43"/>
      <c r="U105" s="43"/>
      <c r="V105" s="40">
        <v>0</v>
      </c>
      <c r="W105" s="40">
        <v>0</v>
      </c>
      <c r="X105" s="40">
        <v>0</v>
      </c>
      <c r="Y105" s="41">
        <v>0</v>
      </c>
      <c r="Z105" s="41"/>
      <c r="AA105" s="41"/>
      <c r="AB105" s="41"/>
      <c r="AC105" s="41"/>
      <c r="AD105" s="39">
        <v>0</v>
      </c>
      <c r="AE105" s="39">
        <v>0</v>
      </c>
      <c r="AF105" s="39">
        <v>0</v>
      </c>
      <c r="AG105" s="43"/>
      <c r="AH105" s="43"/>
      <c r="AI105" s="43"/>
      <c r="AJ105" s="43"/>
      <c r="AK105" s="40">
        <v>290</v>
      </c>
      <c r="AL105" s="40"/>
      <c r="AM105" s="40">
        <v>115</v>
      </c>
      <c r="AN105" s="40">
        <v>0</v>
      </c>
      <c r="AO105" s="40">
        <v>25</v>
      </c>
      <c r="AP105" s="40">
        <v>150</v>
      </c>
      <c r="AQ105" s="40"/>
      <c r="AR105" s="40"/>
      <c r="AS105" s="39"/>
      <c r="AT105" s="39">
        <v>30</v>
      </c>
      <c r="AU105" s="39">
        <v>2</v>
      </c>
      <c r="AV105" s="43"/>
      <c r="AW105" s="43">
        <v>258</v>
      </c>
      <c r="AX105" s="43"/>
      <c r="AY105" s="43"/>
      <c r="AZ105" s="40">
        <v>25</v>
      </c>
      <c r="BA105" s="40"/>
      <c r="BB105" s="40">
        <v>25</v>
      </c>
      <c r="BC105" s="40">
        <v>0</v>
      </c>
      <c r="BD105" s="40"/>
      <c r="BE105" s="40"/>
      <c r="BF105" s="40"/>
      <c r="BG105" s="40"/>
      <c r="BH105" s="40"/>
      <c r="BI105" s="40">
        <v>25</v>
      </c>
      <c r="BJ105" s="40">
        <v>0</v>
      </c>
      <c r="BK105" s="39">
        <v>0</v>
      </c>
      <c r="BL105" s="39">
        <v>0</v>
      </c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>
        <v>0.4</v>
      </c>
      <c r="CH105" s="39">
        <v>0.2</v>
      </c>
      <c r="CI105" s="39">
        <v>0.1</v>
      </c>
      <c r="CJ105" s="39">
        <v>0.1</v>
      </c>
      <c r="CK105" s="39">
        <v>0</v>
      </c>
      <c r="CL105" s="39">
        <v>0</v>
      </c>
      <c r="CM105" s="39"/>
      <c r="CN105" s="39"/>
      <c r="CO105" s="39"/>
      <c r="CP105" s="39"/>
      <c r="CQ105" s="39">
        <v>3</v>
      </c>
      <c r="CR105" s="39">
        <v>1</v>
      </c>
      <c r="CS105" s="39">
        <v>1.5</v>
      </c>
      <c r="CT105" s="39">
        <v>0.1</v>
      </c>
      <c r="CU105" s="39">
        <v>0</v>
      </c>
      <c r="CV105" s="39">
        <v>0.4</v>
      </c>
      <c r="CW105" s="39"/>
      <c r="CX105" s="39"/>
      <c r="CY105" s="39"/>
      <c r="CZ105" s="39">
        <v>500</v>
      </c>
      <c r="DA105" s="39">
        <v>0</v>
      </c>
      <c r="DB105" s="39">
        <v>30</v>
      </c>
      <c r="DC105" s="39">
        <v>10</v>
      </c>
      <c r="DD105" s="39">
        <v>0</v>
      </c>
      <c r="DE105" s="39">
        <v>460</v>
      </c>
      <c r="DF105" s="39"/>
      <c r="DG105" s="39"/>
      <c r="DH105" s="39"/>
      <c r="DI105" s="39">
        <v>10</v>
      </c>
      <c r="DJ105" s="39">
        <v>20</v>
      </c>
      <c r="DK105" s="39">
        <v>20</v>
      </c>
      <c r="DL105" s="39">
        <v>0</v>
      </c>
      <c r="DM105" s="39">
        <v>0</v>
      </c>
      <c r="DN105" s="39">
        <v>0</v>
      </c>
      <c r="DO105" s="39">
        <v>0</v>
      </c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>
        <v>0.5</v>
      </c>
      <c r="EK105" s="39">
        <v>0</v>
      </c>
      <c r="EL105" s="39">
        <v>0.3</v>
      </c>
      <c r="EM105" s="39">
        <v>0</v>
      </c>
      <c r="EN105" s="39">
        <v>0</v>
      </c>
      <c r="EO105" s="39">
        <v>0.2</v>
      </c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>
        <v>600</v>
      </c>
      <c r="FL105" s="39">
        <v>120</v>
      </c>
      <c r="FM105" s="39">
        <v>0</v>
      </c>
      <c r="FN105" s="39">
        <v>0</v>
      </c>
      <c r="FO105" s="39"/>
      <c r="FP105" s="39">
        <v>480</v>
      </c>
      <c r="FQ105" s="39"/>
      <c r="FR105" s="39"/>
      <c r="FS105" s="39">
        <f t="shared" si="31"/>
        <v>0</v>
      </c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 s="39"/>
      <c r="GL105" s="39"/>
      <c r="GM105" s="39"/>
      <c r="GN105" s="39"/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54"/>
      <c r="IF105" s="43">
        <f t="shared" si="47"/>
        <v>0.4</v>
      </c>
      <c r="IG105" s="43">
        <f t="shared" si="48"/>
        <v>0.2</v>
      </c>
      <c r="IH105" s="43">
        <f t="shared" si="49"/>
        <v>0.1</v>
      </c>
      <c r="II105" s="43">
        <f t="shared" si="50"/>
        <v>0.1</v>
      </c>
      <c r="IJ105" s="43">
        <f t="shared" si="51"/>
        <v>0</v>
      </c>
      <c r="IK105" s="40">
        <f t="shared" si="46"/>
        <v>0</v>
      </c>
      <c r="IL105" s="40">
        <f t="shared" si="37"/>
        <v>0</v>
      </c>
      <c r="IM105" s="40">
        <f t="shared" si="37"/>
        <v>0</v>
      </c>
      <c r="IN105" s="40">
        <f t="shared" si="52"/>
        <v>3.5</v>
      </c>
      <c r="IO105" s="40">
        <f t="shared" si="53"/>
        <v>1</v>
      </c>
      <c r="IP105" s="40">
        <f t="shared" si="54"/>
        <v>1.8</v>
      </c>
      <c r="IQ105" s="40">
        <f t="shared" si="55"/>
        <v>0.1</v>
      </c>
      <c r="IR105" s="40">
        <f t="shared" si="56"/>
        <v>0</v>
      </c>
      <c r="IS105" s="40">
        <f t="shared" si="57"/>
        <v>0.60000000000000009</v>
      </c>
      <c r="IT105" s="40">
        <f t="shared" si="58"/>
        <v>0</v>
      </c>
      <c r="IU105" s="40">
        <f t="shared" si="45"/>
        <v>0</v>
      </c>
      <c r="IV105" s="39">
        <v>0.4</v>
      </c>
      <c r="IW105" s="44">
        <v>1</v>
      </c>
      <c r="IX105" s="39"/>
    </row>
    <row r="106" spans="1:258" s="55" customFormat="1">
      <c r="A106" s="37">
        <v>100</v>
      </c>
      <c r="B106" s="38" t="s">
        <v>183</v>
      </c>
      <c r="C106" s="38" t="s">
        <v>170</v>
      </c>
      <c r="D106" s="38" t="s">
        <v>179</v>
      </c>
      <c r="E106" s="39">
        <v>49.2</v>
      </c>
      <c r="F106" s="40"/>
      <c r="G106" s="40">
        <v>100</v>
      </c>
      <c r="H106" s="40"/>
      <c r="I106" s="40">
        <v>100</v>
      </c>
      <c r="J106" s="40">
        <v>0</v>
      </c>
      <c r="K106" s="40"/>
      <c r="L106" s="40"/>
      <c r="M106" s="40"/>
      <c r="N106" s="40"/>
      <c r="O106" s="39"/>
      <c r="P106" s="39">
        <v>100</v>
      </c>
      <c r="Q106" s="39">
        <v>0</v>
      </c>
      <c r="R106" s="43"/>
      <c r="S106" s="43"/>
      <c r="T106" s="43"/>
      <c r="U106" s="43"/>
      <c r="V106" s="40">
        <v>0</v>
      </c>
      <c r="W106" s="40">
        <v>0</v>
      </c>
      <c r="X106" s="40">
        <v>0</v>
      </c>
      <c r="Y106" s="41">
        <v>0</v>
      </c>
      <c r="Z106" s="41"/>
      <c r="AA106" s="41"/>
      <c r="AB106" s="41"/>
      <c r="AC106" s="41"/>
      <c r="AD106" s="39">
        <v>0</v>
      </c>
      <c r="AE106" s="39">
        <v>0</v>
      </c>
      <c r="AF106" s="39">
        <v>0</v>
      </c>
      <c r="AG106" s="43"/>
      <c r="AH106" s="43"/>
      <c r="AI106" s="43"/>
      <c r="AJ106" s="43"/>
      <c r="AK106" s="40">
        <v>640</v>
      </c>
      <c r="AL106" s="40"/>
      <c r="AM106" s="40">
        <v>260</v>
      </c>
      <c r="AN106" s="40">
        <v>0</v>
      </c>
      <c r="AO106" s="40">
        <v>200</v>
      </c>
      <c r="AP106" s="40">
        <v>180</v>
      </c>
      <c r="AQ106" s="40"/>
      <c r="AR106" s="40"/>
      <c r="AS106" s="39"/>
      <c r="AT106" s="39">
        <v>100</v>
      </c>
      <c r="AU106" s="39">
        <v>160</v>
      </c>
      <c r="AV106" s="43"/>
      <c r="AW106" s="43">
        <v>380</v>
      </c>
      <c r="AX106" s="43"/>
      <c r="AY106" s="43"/>
      <c r="AZ106" s="40">
        <v>15</v>
      </c>
      <c r="BA106" s="40"/>
      <c r="BB106" s="40">
        <v>15</v>
      </c>
      <c r="BC106" s="40">
        <v>0</v>
      </c>
      <c r="BD106" s="40"/>
      <c r="BE106" s="40"/>
      <c r="BF106" s="40"/>
      <c r="BG106" s="40"/>
      <c r="BH106" s="40"/>
      <c r="BI106" s="40">
        <v>15</v>
      </c>
      <c r="BJ106" s="40">
        <v>0</v>
      </c>
      <c r="BK106" s="39">
        <v>0</v>
      </c>
      <c r="BL106" s="39">
        <v>0</v>
      </c>
      <c r="BM106" s="39"/>
      <c r="BN106" s="39"/>
      <c r="BO106" s="39">
        <v>1</v>
      </c>
      <c r="BP106" s="39">
        <v>1</v>
      </c>
      <c r="BQ106" s="39">
        <v>0</v>
      </c>
      <c r="BR106" s="39"/>
      <c r="BS106" s="39"/>
      <c r="BT106" s="39"/>
      <c r="BU106" s="39"/>
      <c r="BV106" s="39"/>
      <c r="BW106" s="39"/>
      <c r="BX106" s="39">
        <v>0.1</v>
      </c>
      <c r="BY106" s="39">
        <v>0.1</v>
      </c>
      <c r="BZ106" s="39">
        <v>0</v>
      </c>
      <c r="CA106" s="39">
        <v>0</v>
      </c>
      <c r="CB106" s="39">
        <v>0</v>
      </c>
      <c r="CC106" s="39">
        <v>0</v>
      </c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>
        <v>11</v>
      </c>
      <c r="CR106" s="39">
        <v>2</v>
      </c>
      <c r="CS106" s="39"/>
      <c r="CT106" s="39">
        <v>6</v>
      </c>
      <c r="CU106" s="39">
        <v>0</v>
      </c>
      <c r="CV106" s="39">
        <v>3</v>
      </c>
      <c r="CW106" s="39"/>
      <c r="CX106" s="39"/>
      <c r="CY106" s="39"/>
      <c r="CZ106" s="39">
        <v>1600</v>
      </c>
      <c r="DA106" s="39">
        <v>0</v>
      </c>
      <c r="DB106" s="39"/>
      <c r="DC106" s="39">
        <v>960</v>
      </c>
      <c r="DD106" s="39">
        <v>0</v>
      </c>
      <c r="DE106" s="39">
        <v>640</v>
      </c>
      <c r="DF106" s="39"/>
      <c r="DG106" s="39"/>
      <c r="DH106" s="39"/>
      <c r="DI106" s="39">
        <v>2</v>
      </c>
      <c r="DJ106" s="39">
        <v>15</v>
      </c>
      <c r="DK106" s="39">
        <v>15</v>
      </c>
      <c r="DL106" s="39"/>
      <c r="DM106" s="39">
        <v>0</v>
      </c>
      <c r="DN106" s="39">
        <v>0</v>
      </c>
      <c r="DO106" s="39">
        <v>0</v>
      </c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>
        <v>1</v>
      </c>
      <c r="EK106" s="39">
        <v>0</v>
      </c>
      <c r="EL106" s="39"/>
      <c r="EM106" s="39">
        <v>0.5</v>
      </c>
      <c r="EN106" s="39">
        <v>0</v>
      </c>
      <c r="EO106" s="39">
        <v>0.5</v>
      </c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>
        <v>400</v>
      </c>
      <c r="FL106" s="39">
        <v>400</v>
      </c>
      <c r="FM106" s="39"/>
      <c r="FN106" s="39">
        <v>0</v>
      </c>
      <c r="FO106" s="39"/>
      <c r="FP106" s="39">
        <v>0</v>
      </c>
      <c r="FQ106" s="39"/>
      <c r="FR106" s="39"/>
      <c r="FS106" s="39">
        <f t="shared" si="31"/>
        <v>0</v>
      </c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54"/>
      <c r="IF106" s="43">
        <f t="shared" si="47"/>
        <v>0.1</v>
      </c>
      <c r="IG106" s="43">
        <f t="shared" si="48"/>
        <v>0.1</v>
      </c>
      <c r="IH106" s="43">
        <f t="shared" si="49"/>
        <v>0</v>
      </c>
      <c r="II106" s="43">
        <f t="shared" si="50"/>
        <v>0</v>
      </c>
      <c r="IJ106" s="43">
        <f t="shared" si="51"/>
        <v>0</v>
      </c>
      <c r="IK106" s="40">
        <f t="shared" si="46"/>
        <v>0</v>
      </c>
      <c r="IL106" s="40">
        <f t="shared" si="37"/>
        <v>0</v>
      </c>
      <c r="IM106" s="40">
        <f t="shared" si="37"/>
        <v>0</v>
      </c>
      <c r="IN106" s="40">
        <f t="shared" si="52"/>
        <v>12</v>
      </c>
      <c r="IO106" s="40">
        <f t="shared" si="53"/>
        <v>2</v>
      </c>
      <c r="IP106" s="40">
        <f t="shared" si="54"/>
        <v>0</v>
      </c>
      <c r="IQ106" s="40">
        <f t="shared" si="55"/>
        <v>6.5</v>
      </c>
      <c r="IR106" s="40">
        <f t="shared" si="56"/>
        <v>0</v>
      </c>
      <c r="IS106" s="40">
        <f t="shared" si="57"/>
        <v>3.5</v>
      </c>
      <c r="IT106" s="40">
        <f t="shared" si="58"/>
        <v>0</v>
      </c>
      <c r="IU106" s="40">
        <f t="shared" si="45"/>
        <v>0</v>
      </c>
      <c r="IV106" s="39">
        <v>26.7</v>
      </c>
      <c r="IW106" s="44">
        <v>1</v>
      </c>
      <c r="IX106" s="39"/>
    </row>
    <row r="107" spans="1:258" s="55" customFormat="1">
      <c r="A107" s="45">
        <v>101</v>
      </c>
      <c r="B107" s="38" t="s">
        <v>184</v>
      </c>
      <c r="C107" s="38" t="s">
        <v>170</v>
      </c>
      <c r="D107" s="38" t="s">
        <v>179</v>
      </c>
      <c r="E107" s="39">
        <v>75.900000000000006</v>
      </c>
      <c r="F107" s="40"/>
      <c r="G107" s="40">
        <v>300</v>
      </c>
      <c r="H107" s="40"/>
      <c r="I107" s="40">
        <v>300</v>
      </c>
      <c r="J107" s="40">
        <v>0</v>
      </c>
      <c r="K107" s="40"/>
      <c r="L107" s="40"/>
      <c r="M107" s="40"/>
      <c r="N107" s="40"/>
      <c r="O107" s="39"/>
      <c r="P107" s="39">
        <v>300</v>
      </c>
      <c r="Q107" s="39">
        <v>0</v>
      </c>
      <c r="R107" s="43"/>
      <c r="S107" s="43"/>
      <c r="T107" s="43"/>
      <c r="U107" s="43"/>
      <c r="V107" s="40">
        <v>0</v>
      </c>
      <c r="W107" s="40">
        <v>0</v>
      </c>
      <c r="X107" s="40">
        <v>0</v>
      </c>
      <c r="Y107" s="41">
        <v>0</v>
      </c>
      <c r="Z107" s="41"/>
      <c r="AA107" s="41"/>
      <c r="AB107" s="41"/>
      <c r="AC107" s="41"/>
      <c r="AD107" s="39">
        <v>0</v>
      </c>
      <c r="AE107" s="39">
        <v>0</v>
      </c>
      <c r="AF107" s="39">
        <v>0</v>
      </c>
      <c r="AG107" s="43"/>
      <c r="AH107" s="43"/>
      <c r="AI107" s="43"/>
      <c r="AJ107" s="43"/>
      <c r="AK107" s="40">
        <v>350</v>
      </c>
      <c r="AL107" s="40"/>
      <c r="AM107" s="40">
        <v>100</v>
      </c>
      <c r="AN107" s="40">
        <v>0</v>
      </c>
      <c r="AO107" s="40">
        <v>150</v>
      </c>
      <c r="AP107" s="40">
        <v>100</v>
      </c>
      <c r="AQ107" s="40"/>
      <c r="AR107" s="40"/>
      <c r="AS107" s="39"/>
      <c r="AT107" s="39">
        <v>0</v>
      </c>
      <c r="AU107" s="39">
        <v>100</v>
      </c>
      <c r="AV107" s="43"/>
      <c r="AW107" s="43">
        <v>250</v>
      </c>
      <c r="AX107" s="43"/>
      <c r="AY107" s="43"/>
      <c r="AZ107" s="40">
        <v>45</v>
      </c>
      <c r="BA107" s="40"/>
      <c r="BB107" s="40">
        <v>45</v>
      </c>
      <c r="BC107" s="40">
        <v>0</v>
      </c>
      <c r="BD107" s="40"/>
      <c r="BE107" s="40"/>
      <c r="BF107" s="40"/>
      <c r="BG107" s="40"/>
      <c r="BH107" s="40"/>
      <c r="BI107" s="40">
        <v>45</v>
      </c>
      <c r="BJ107" s="40">
        <v>0</v>
      </c>
      <c r="BK107" s="39">
        <v>0</v>
      </c>
      <c r="BL107" s="39">
        <v>0</v>
      </c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>
        <v>1</v>
      </c>
      <c r="CH107" s="39">
        <v>0</v>
      </c>
      <c r="CI107" s="39"/>
      <c r="CJ107" s="39">
        <v>0.5</v>
      </c>
      <c r="CK107" s="39">
        <v>0</v>
      </c>
      <c r="CL107" s="39">
        <v>0.5</v>
      </c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>
        <f>1.4+0.7</f>
        <v>2.0999999999999996</v>
      </c>
      <c r="EK107" s="39">
        <v>0</v>
      </c>
      <c r="EL107" s="39">
        <v>1</v>
      </c>
      <c r="EM107" s="39">
        <v>1.5</v>
      </c>
      <c r="EN107" s="39">
        <v>0</v>
      </c>
      <c r="EO107" s="39">
        <v>0</v>
      </c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>
        <f t="shared" si="31"/>
        <v>0</v>
      </c>
      <c r="FT107" s="39"/>
      <c r="FU107" s="39"/>
      <c r="FV107" s="39"/>
      <c r="FW107" s="39"/>
      <c r="FX107" s="39"/>
      <c r="FY107" s="39"/>
      <c r="FZ107" s="39"/>
      <c r="GA107" s="39"/>
      <c r="GB107" s="39"/>
      <c r="GC107" s="39"/>
      <c r="GD107" s="39"/>
      <c r="GE107" s="39"/>
      <c r="GF107" s="39"/>
      <c r="GG107" s="39"/>
      <c r="GH107" s="39"/>
      <c r="GI107" s="39"/>
      <c r="GJ107" s="39"/>
      <c r="GK107" s="39"/>
      <c r="GL107" s="39"/>
      <c r="GM107" s="39"/>
      <c r="GN107" s="39"/>
      <c r="GO107" s="39"/>
      <c r="GP107" s="39"/>
      <c r="GQ107" s="39"/>
      <c r="GR107" s="39"/>
      <c r="GS107" s="39"/>
      <c r="GT107" s="39"/>
      <c r="GU107" s="39"/>
      <c r="GV107" s="39"/>
      <c r="GW107" s="39"/>
      <c r="GX107" s="39"/>
      <c r="GY107" s="39"/>
      <c r="GZ107" s="39"/>
      <c r="HA107" s="39"/>
      <c r="HB107" s="39"/>
      <c r="HC107" s="39"/>
      <c r="HD107" s="39"/>
      <c r="HE107" s="39"/>
      <c r="HF107" s="39"/>
      <c r="HG107" s="39"/>
      <c r="HH107" s="39"/>
      <c r="HI107" s="39"/>
      <c r="HJ107" s="39"/>
      <c r="HK107" s="39"/>
      <c r="HL107" s="39"/>
      <c r="HM107" s="39"/>
      <c r="HN107" s="39"/>
      <c r="HO107" s="39"/>
      <c r="HP107" s="39"/>
      <c r="HQ107" s="39"/>
      <c r="HR107" s="39"/>
      <c r="HS107" s="39"/>
      <c r="HT107" s="39"/>
      <c r="HU107" s="39"/>
      <c r="HV107" s="39"/>
      <c r="HW107" s="39"/>
      <c r="HX107" s="39"/>
      <c r="HY107" s="39"/>
      <c r="HZ107" s="39"/>
      <c r="IA107" s="39"/>
      <c r="IB107" s="39"/>
      <c r="IC107" s="39"/>
      <c r="ID107" s="39"/>
      <c r="IE107" s="54"/>
      <c r="IF107" s="43">
        <f t="shared" si="47"/>
        <v>1</v>
      </c>
      <c r="IG107" s="43">
        <f t="shared" si="48"/>
        <v>0</v>
      </c>
      <c r="IH107" s="43">
        <f t="shared" si="49"/>
        <v>0</v>
      </c>
      <c r="II107" s="43">
        <f t="shared" si="50"/>
        <v>0.5</v>
      </c>
      <c r="IJ107" s="43">
        <f t="shared" si="51"/>
        <v>0</v>
      </c>
      <c r="IK107" s="40">
        <f t="shared" si="46"/>
        <v>0.5</v>
      </c>
      <c r="IL107" s="40">
        <f t="shared" si="37"/>
        <v>0</v>
      </c>
      <c r="IM107" s="40">
        <f t="shared" si="37"/>
        <v>0</v>
      </c>
      <c r="IN107" s="40">
        <f t="shared" si="52"/>
        <v>2.0999999999999996</v>
      </c>
      <c r="IO107" s="40">
        <f t="shared" si="53"/>
        <v>0</v>
      </c>
      <c r="IP107" s="40">
        <f t="shared" si="54"/>
        <v>1</v>
      </c>
      <c r="IQ107" s="40">
        <f t="shared" si="55"/>
        <v>1.5</v>
      </c>
      <c r="IR107" s="40">
        <f t="shared" si="56"/>
        <v>0</v>
      </c>
      <c r="IS107" s="40">
        <f t="shared" si="57"/>
        <v>0</v>
      </c>
      <c r="IT107" s="40">
        <f t="shared" si="58"/>
        <v>0</v>
      </c>
      <c r="IU107" s="40">
        <f t="shared" si="45"/>
        <v>0</v>
      </c>
      <c r="IV107" s="39">
        <v>36.1</v>
      </c>
      <c r="IW107" s="44">
        <v>1</v>
      </c>
      <c r="IX107" s="39"/>
    </row>
    <row r="108" spans="1:258" s="55" customFormat="1">
      <c r="A108" s="37">
        <v>102</v>
      </c>
      <c r="B108" s="38" t="s">
        <v>185</v>
      </c>
      <c r="C108" s="38" t="s">
        <v>170</v>
      </c>
      <c r="D108" s="38" t="s">
        <v>179</v>
      </c>
      <c r="E108" s="39">
        <v>11</v>
      </c>
      <c r="F108" s="40"/>
      <c r="G108" s="40">
        <v>200</v>
      </c>
      <c r="H108" s="40"/>
      <c r="I108" s="40">
        <v>200</v>
      </c>
      <c r="J108" s="40">
        <v>0</v>
      </c>
      <c r="K108" s="40"/>
      <c r="L108" s="40"/>
      <c r="M108" s="40"/>
      <c r="N108" s="40"/>
      <c r="O108" s="39"/>
      <c r="P108" s="39">
        <v>200</v>
      </c>
      <c r="Q108" s="39">
        <v>0</v>
      </c>
      <c r="R108" s="43"/>
      <c r="S108" s="43"/>
      <c r="T108" s="43"/>
      <c r="U108" s="43"/>
      <c r="V108" s="40">
        <v>0</v>
      </c>
      <c r="W108" s="40">
        <v>0</v>
      </c>
      <c r="X108" s="40">
        <v>0</v>
      </c>
      <c r="Y108" s="41">
        <v>0</v>
      </c>
      <c r="Z108" s="41"/>
      <c r="AA108" s="41"/>
      <c r="AB108" s="41"/>
      <c r="AC108" s="41"/>
      <c r="AD108" s="39">
        <v>0</v>
      </c>
      <c r="AE108" s="39">
        <v>0</v>
      </c>
      <c r="AF108" s="39">
        <v>0</v>
      </c>
      <c r="AG108" s="43"/>
      <c r="AH108" s="43"/>
      <c r="AI108" s="43"/>
      <c r="AJ108" s="43"/>
      <c r="AK108" s="40">
        <v>527</v>
      </c>
      <c r="AL108" s="40"/>
      <c r="AM108" s="40">
        <v>40</v>
      </c>
      <c r="AN108" s="40">
        <v>0</v>
      </c>
      <c r="AO108" s="40">
        <v>100</v>
      </c>
      <c r="AP108" s="40">
        <v>387</v>
      </c>
      <c r="AQ108" s="40"/>
      <c r="AR108" s="40"/>
      <c r="AS108" s="39"/>
      <c r="AT108" s="39">
        <v>0</v>
      </c>
      <c r="AU108" s="39">
        <v>40</v>
      </c>
      <c r="AV108" s="43"/>
      <c r="AW108" s="43">
        <v>487</v>
      </c>
      <c r="AX108" s="43"/>
      <c r="AY108" s="43"/>
      <c r="AZ108" s="40">
        <v>256</v>
      </c>
      <c r="BA108" s="40"/>
      <c r="BB108" s="40">
        <v>256</v>
      </c>
      <c r="BC108" s="40">
        <v>0</v>
      </c>
      <c r="BD108" s="40"/>
      <c r="BE108" s="40"/>
      <c r="BF108" s="40"/>
      <c r="BG108" s="40"/>
      <c r="BH108" s="40"/>
      <c r="BI108" s="40">
        <v>256</v>
      </c>
      <c r="BJ108" s="40">
        <v>0</v>
      </c>
      <c r="BK108" s="39">
        <v>0</v>
      </c>
      <c r="BL108" s="39">
        <v>0</v>
      </c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>
        <v>1.5</v>
      </c>
      <c r="CH108" s="39"/>
      <c r="CI108" s="39">
        <v>0</v>
      </c>
      <c r="CJ108" s="39">
        <v>0.5</v>
      </c>
      <c r="CK108" s="39">
        <v>0</v>
      </c>
      <c r="CL108" s="39">
        <v>1</v>
      </c>
      <c r="CM108" s="39"/>
      <c r="CN108" s="39"/>
      <c r="CO108" s="39"/>
      <c r="CP108" s="39"/>
      <c r="CQ108" s="39">
        <v>3.7</v>
      </c>
      <c r="CR108" s="39"/>
      <c r="CS108" s="39"/>
      <c r="CT108" s="39">
        <v>1</v>
      </c>
      <c r="CU108" s="39">
        <v>0</v>
      </c>
      <c r="CV108" s="39">
        <v>2.7</v>
      </c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>
        <v>2.8</v>
      </c>
      <c r="EK108" s="39"/>
      <c r="EL108" s="39">
        <v>0.5</v>
      </c>
      <c r="EM108" s="39">
        <v>0.5</v>
      </c>
      <c r="EN108" s="39">
        <v>0</v>
      </c>
      <c r="EO108" s="39">
        <v>1.8</v>
      </c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>
        <f t="shared" si="31"/>
        <v>0</v>
      </c>
      <c r="FT108" s="39"/>
      <c r="FU108" s="39"/>
      <c r="FV108" s="39"/>
      <c r="FW108" s="39"/>
      <c r="FX108" s="39"/>
      <c r="FY108" s="39"/>
      <c r="FZ108" s="39"/>
      <c r="GA108" s="39"/>
      <c r="GB108" s="39"/>
      <c r="GC108" s="39"/>
      <c r="GD108" s="39"/>
      <c r="GE108" s="39"/>
      <c r="GF108" s="39"/>
      <c r="GG108" s="39"/>
      <c r="GH108" s="39"/>
      <c r="GI108" s="39"/>
      <c r="GJ108" s="39"/>
      <c r="GK108" s="39"/>
      <c r="GL108" s="39"/>
      <c r="GM108" s="39"/>
      <c r="GN108" s="39"/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/>
      <c r="HG108" s="39"/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/>
      <c r="HS108" s="39"/>
      <c r="HT108" s="39"/>
      <c r="HU108" s="39"/>
      <c r="HV108" s="39"/>
      <c r="HW108" s="39"/>
      <c r="HX108" s="39"/>
      <c r="HY108" s="39"/>
      <c r="HZ108" s="39"/>
      <c r="IA108" s="39"/>
      <c r="IB108" s="39"/>
      <c r="IC108" s="39"/>
      <c r="ID108" s="39"/>
      <c r="IE108" s="54"/>
      <c r="IF108" s="43">
        <f t="shared" si="47"/>
        <v>1.5</v>
      </c>
      <c r="IG108" s="43">
        <f t="shared" si="48"/>
        <v>0</v>
      </c>
      <c r="IH108" s="43">
        <f t="shared" si="49"/>
        <v>0</v>
      </c>
      <c r="II108" s="43">
        <f t="shared" si="50"/>
        <v>0.5</v>
      </c>
      <c r="IJ108" s="43">
        <f t="shared" si="51"/>
        <v>0</v>
      </c>
      <c r="IK108" s="40">
        <f t="shared" si="46"/>
        <v>1</v>
      </c>
      <c r="IL108" s="40">
        <f t="shared" si="37"/>
        <v>0</v>
      </c>
      <c r="IM108" s="40">
        <f t="shared" si="37"/>
        <v>0</v>
      </c>
      <c r="IN108" s="40">
        <f t="shared" si="52"/>
        <v>6.5</v>
      </c>
      <c r="IO108" s="40">
        <f t="shared" si="53"/>
        <v>0</v>
      </c>
      <c r="IP108" s="40">
        <f t="shared" si="54"/>
        <v>0.5</v>
      </c>
      <c r="IQ108" s="40">
        <f t="shared" si="55"/>
        <v>1.5</v>
      </c>
      <c r="IR108" s="40">
        <f t="shared" si="56"/>
        <v>0</v>
      </c>
      <c r="IS108" s="40">
        <f t="shared" si="57"/>
        <v>4.5</v>
      </c>
      <c r="IT108" s="40">
        <f t="shared" si="58"/>
        <v>0</v>
      </c>
      <c r="IU108" s="40">
        <f t="shared" si="45"/>
        <v>0</v>
      </c>
      <c r="IV108" s="39">
        <v>2.9</v>
      </c>
      <c r="IW108" s="44">
        <v>1</v>
      </c>
      <c r="IX108" s="39"/>
    </row>
    <row r="109" spans="1:258" s="55" customFormat="1">
      <c r="A109" s="37">
        <v>103</v>
      </c>
      <c r="B109" s="38" t="s">
        <v>186</v>
      </c>
      <c r="C109" s="38" t="s">
        <v>170</v>
      </c>
      <c r="D109" s="38" t="s">
        <v>179</v>
      </c>
      <c r="E109" s="39">
        <v>14.1</v>
      </c>
      <c r="F109" s="40"/>
      <c r="G109" s="40">
        <v>100</v>
      </c>
      <c r="H109" s="40"/>
      <c r="I109" s="40">
        <v>100</v>
      </c>
      <c r="J109" s="40">
        <v>0</v>
      </c>
      <c r="K109" s="40"/>
      <c r="L109" s="40"/>
      <c r="M109" s="40"/>
      <c r="N109" s="40"/>
      <c r="O109" s="39"/>
      <c r="P109" s="39">
        <v>100</v>
      </c>
      <c r="Q109" s="39">
        <v>0</v>
      </c>
      <c r="R109" s="43"/>
      <c r="S109" s="43"/>
      <c r="T109" s="43"/>
      <c r="U109" s="43"/>
      <c r="V109" s="40">
        <v>0</v>
      </c>
      <c r="W109" s="40">
        <v>0</v>
      </c>
      <c r="X109" s="40">
        <v>0</v>
      </c>
      <c r="Y109" s="41">
        <v>0</v>
      </c>
      <c r="Z109" s="41"/>
      <c r="AA109" s="41"/>
      <c r="AB109" s="41"/>
      <c r="AC109" s="41"/>
      <c r="AD109" s="39">
        <v>0</v>
      </c>
      <c r="AE109" s="39">
        <v>0</v>
      </c>
      <c r="AF109" s="39">
        <v>0</v>
      </c>
      <c r="AG109" s="43"/>
      <c r="AH109" s="43"/>
      <c r="AI109" s="43"/>
      <c r="AJ109" s="43"/>
      <c r="AK109" s="40">
        <v>30</v>
      </c>
      <c r="AL109" s="40"/>
      <c r="AM109" s="40">
        <v>30</v>
      </c>
      <c r="AN109" s="40">
        <v>0</v>
      </c>
      <c r="AO109" s="40">
        <v>0</v>
      </c>
      <c r="AP109" s="40">
        <v>0</v>
      </c>
      <c r="AQ109" s="40"/>
      <c r="AR109" s="40"/>
      <c r="AS109" s="39"/>
      <c r="AT109" s="39">
        <v>0</v>
      </c>
      <c r="AU109" s="39">
        <v>30</v>
      </c>
      <c r="AV109" s="43"/>
      <c r="AW109" s="43">
        <v>0</v>
      </c>
      <c r="AX109" s="43"/>
      <c r="AY109" s="43"/>
      <c r="AZ109" s="40">
        <v>0</v>
      </c>
      <c r="BA109" s="40"/>
      <c r="BB109" s="40">
        <v>0</v>
      </c>
      <c r="BC109" s="40">
        <v>0</v>
      </c>
      <c r="BD109" s="40"/>
      <c r="BE109" s="40"/>
      <c r="BF109" s="40"/>
      <c r="BG109" s="40"/>
      <c r="BH109" s="40"/>
      <c r="BI109" s="40">
        <v>0</v>
      </c>
      <c r="BJ109" s="40">
        <v>0</v>
      </c>
      <c r="BK109" s="39">
        <v>0</v>
      </c>
      <c r="BL109" s="39">
        <v>0</v>
      </c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>
        <v>1.8</v>
      </c>
      <c r="CR109" s="39">
        <v>0</v>
      </c>
      <c r="CS109" s="39">
        <v>0</v>
      </c>
      <c r="CT109" s="39">
        <v>1.8</v>
      </c>
      <c r="CU109" s="39">
        <v>0</v>
      </c>
      <c r="CV109" s="39">
        <v>0</v>
      </c>
      <c r="CW109" s="39"/>
      <c r="CX109" s="39"/>
      <c r="CY109" s="39"/>
      <c r="CZ109" s="39">
        <v>300</v>
      </c>
      <c r="DA109" s="39">
        <v>0</v>
      </c>
      <c r="DB109" s="39">
        <v>0</v>
      </c>
      <c r="DC109" s="39">
        <v>300</v>
      </c>
      <c r="DD109" s="39">
        <v>0</v>
      </c>
      <c r="DE109" s="39">
        <v>0</v>
      </c>
      <c r="DF109" s="39"/>
      <c r="DG109" s="39"/>
      <c r="DH109" s="39"/>
      <c r="DI109" s="39">
        <v>1</v>
      </c>
      <c r="DJ109" s="39">
        <v>4</v>
      </c>
      <c r="DK109" s="39">
        <v>0</v>
      </c>
      <c r="DL109" s="39">
        <v>0</v>
      </c>
      <c r="DM109" s="39">
        <v>0</v>
      </c>
      <c r="DN109" s="39">
        <v>0</v>
      </c>
      <c r="DO109" s="39">
        <v>4</v>
      </c>
      <c r="DP109" s="39"/>
      <c r="DQ109" s="39"/>
      <c r="DR109" s="39"/>
      <c r="DS109" s="42"/>
      <c r="DT109" s="42"/>
      <c r="DU109" s="42"/>
      <c r="DV109" s="42"/>
      <c r="DW109" s="42"/>
      <c r="DX109" s="42"/>
      <c r="DY109" s="42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>
        <v>800</v>
      </c>
      <c r="FL109" s="39">
        <v>0</v>
      </c>
      <c r="FM109" s="39">
        <v>700</v>
      </c>
      <c r="FN109" s="39">
        <v>100</v>
      </c>
      <c r="FO109" s="39"/>
      <c r="FP109" s="39">
        <v>0</v>
      </c>
      <c r="FQ109" s="39"/>
      <c r="FR109" s="39"/>
      <c r="FS109" s="39">
        <f t="shared" si="31"/>
        <v>0</v>
      </c>
      <c r="FT109" s="39"/>
      <c r="FU109" s="39"/>
      <c r="FV109" s="39"/>
      <c r="FW109" s="39"/>
      <c r="FX109" s="39"/>
      <c r="FY109" s="39"/>
      <c r="FZ109" s="39"/>
      <c r="GA109" s="39"/>
      <c r="GB109" s="39"/>
      <c r="GC109" s="39"/>
      <c r="GD109" s="39"/>
      <c r="GE109" s="39"/>
      <c r="GF109" s="39"/>
      <c r="GG109" s="39"/>
      <c r="GH109" s="39"/>
      <c r="GI109" s="39"/>
      <c r="GJ109" s="39"/>
      <c r="GK109" s="39"/>
      <c r="GL109" s="39"/>
      <c r="GM109" s="39"/>
      <c r="GN109" s="39"/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/>
      <c r="HL109" s="39"/>
      <c r="HM109" s="39"/>
      <c r="HN109" s="39"/>
      <c r="HO109" s="39"/>
      <c r="HP109" s="39"/>
      <c r="HQ109" s="39"/>
      <c r="HR109" s="39"/>
      <c r="HS109" s="39"/>
      <c r="HT109" s="39"/>
      <c r="HU109" s="39"/>
      <c r="HV109" s="39"/>
      <c r="HW109" s="39"/>
      <c r="HX109" s="39"/>
      <c r="HY109" s="39"/>
      <c r="HZ109" s="39"/>
      <c r="IA109" s="39"/>
      <c r="IB109" s="39"/>
      <c r="IC109" s="39"/>
      <c r="ID109" s="39"/>
      <c r="IE109" s="54"/>
      <c r="IF109" s="43">
        <f t="shared" si="47"/>
        <v>0</v>
      </c>
      <c r="IG109" s="43">
        <f t="shared" si="48"/>
        <v>0</v>
      </c>
      <c r="IH109" s="43">
        <f t="shared" si="49"/>
        <v>0</v>
      </c>
      <c r="II109" s="43">
        <f t="shared" si="50"/>
        <v>0</v>
      </c>
      <c r="IJ109" s="43">
        <f t="shared" si="51"/>
        <v>0</v>
      </c>
      <c r="IK109" s="40">
        <f t="shared" si="46"/>
        <v>0</v>
      </c>
      <c r="IL109" s="40">
        <f t="shared" si="37"/>
        <v>0</v>
      </c>
      <c r="IM109" s="40">
        <f t="shared" si="37"/>
        <v>0</v>
      </c>
      <c r="IN109" s="40">
        <f t="shared" si="52"/>
        <v>1.8</v>
      </c>
      <c r="IO109" s="40">
        <f t="shared" si="53"/>
        <v>0</v>
      </c>
      <c r="IP109" s="40">
        <f t="shared" si="54"/>
        <v>0</v>
      </c>
      <c r="IQ109" s="40">
        <f t="shared" si="55"/>
        <v>1.8</v>
      </c>
      <c r="IR109" s="40">
        <f t="shared" si="56"/>
        <v>0</v>
      </c>
      <c r="IS109" s="40">
        <f t="shared" si="57"/>
        <v>0</v>
      </c>
      <c r="IT109" s="40">
        <f t="shared" si="58"/>
        <v>0</v>
      </c>
      <c r="IU109" s="40">
        <f t="shared" si="45"/>
        <v>0</v>
      </c>
      <c r="IV109" s="39">
        <v>5.2</v>
      </c>
      <c r="IW109" s="44">
        <v>1</v>
      </c>
      <c r="IX109" s="39"/>
    </row>
    <row r="110" spans="1:258" s="55" customFormat="1">
      <c r="A110" s="37">
        <v>104</v>
      </c>
      <c r="B110" s="38" t="s">
        <v>187</v>
      </c>
      <c r="C110" s="38" t="s">
        <v>170</v>
      </c>
      <c r="D110" s="38" t="s">
        <v>179</v>
      </c>
      <c r="E110" s="39">
        <v>4.5999999999999996</v>
      </c>
      <c r="F110" s="40"/>
      <c r="G110" s="40">
        <v>300</v>
      </c>
      <c r="H110" s="40"/>
      <c r="I110" s="40">
        <v>300</v>
      </c>
      <c r="J110" s="40">
        <v>0</v>
      </c>
      <c r="K110" s="40"/>
      <c r="L110" s="40"/>
      <c r="M110" s="40"/>
      <c r="N110" s="40"/>
      <c r="O110" s="39"/>
      <c r="P110" s="39">
        <v>300</v>
      </c>
      <c r="Q110" s="39">
        <v>0</v>
      </c>
      <c r="R110" s="43"/>
      <c r="S110" s="43"/>
      <c r="T110" s="43"/>
      <c r="U110" s="43"/>
      <c r="V110" s="40">
        <v>0</v>
      </c>
      <c r="W110" s="40">
        <v>0</v>
      </c>
      <c r="X110" s="40">
        <v>0</v>
      </c>
      <c r="Y110" s="41">
        <v>0</v>
      </c>
      <c r="Z110" s="41"/>
      <c r="AA110" s="41"/>
      <c r="AB110" s="41"/>
      <c r="AC110" s="41"/>
      <c r="AD110" s="39">
        <v>0</v>
      </c>
      <c r="AE110" s="39">
        <v>0</v>
      </c>
      <c r="AF110" s="39">
        <v>0</v>
      </c>
      <c r="AG110" s="43"/>
      <c r="AH110" s="43"/>
      <c r="AI110" s="43"/>
      <c r="AJ110" s="43"/>
      <c r="AK110" s="40">
        <v>4130</v>
      </c>
      <c r="AL110" s="40"/>
      <c r="AM110" s="40">
        <v>3520</v>
      </c>
      <c r="AN110" s="40">
        <v>0</v>
      </c>
      <c r="AO110" s="40">
        <v>50</v>
      </c>
      <c r="AP110" s="40">
        <v>560</v>
      </c>
      <c r="AQ110" s="40"/>
      <c r="AR110" s="40"/>
      <c r="AS110" s="39"/>
      <c r="AT110" s="39">
        <v>100</v>
      </c>
      <c r="AU110" s="39">
        <v>3420</v>
      </c>
      <c r="AV110" s="43"/>
      <c r="AW110" s="43">
        <v>610</v>
      </c>
      <c r="AX110" s="43"/>
      <c r="AY110" s="43"/>
      <c r="AZ110" s="40">
        <v>841</v>
      </c>
      <c r="BA110" s="40"/>
      <c r="BB110" s="40">
        <v>841</v>
      </c>
      <c r="BC110" s="40"/>
      <c r="BD110" s="40"/>
      <c r="BE110" s="40"/>
      <c r="BF110" s="40"/>
      <c r="BG110" s="40"/>
      <c r="BH110" s="40"/>
      <c r="BI110" s="40">
        <v>841</v>
      </c>
      <c r="BJ110" s="40">
        <v>0</v>
      </c>
      <c r="BK110" s="39">
        <v>0</v>
      </c>
      <c r="BL110" s="39">
        <v>0</v>
      </c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>
        <v>1</v>
      </c>
      <c r="EK110" s="39">
        <v>0</v>
      </c>
      <c r="EL110" s="39">
        <v>0.5</v>
      </c>
      <c r="EM110" s="39">
        <v>0.5</v>
      </c>
      <c r="EN110" s="39">
        <v>0</v>
      </c>
      <c r="EO110" s="39">
        <v>0</v>
      </c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>
        <f t="shared" si="31"/>
        <v>0</v>
      </c>
      <c r="FT110" s="39">
        <v>1</v>
      </c>
      <c r="FU110" s="39">
        <v>0</v>
      </c>
      <c r="FV110" s="39">
        <v>0</v>
      </c>
      <c r="FW110" s="39"/>
      <c r="FX110" s="39">
        <v>0</v>
      </c>
      <c r="FY110" s="39">
        <v>1</v>
      </c>
      <c r="FZ110" s="39"/>
      <c r="GA110" s="39"/>
      <c r="GB110" s="39"/>
      <c r="GC110" s="39"/>
      <c r="GD110" s="39"/>
      <c r="GE110" s="39"/>
      <c r="GF110" s="39"/>
      <c r="GG110" s="39"/>
      <c r="GH110" s="39"/>
      <c r="GI110" s="39"/>
      <c r="GJ110" s="39"/>
      <c r="GK110" s="39"/>
      <c r="GL110" s="39"/>
      <c r="GM110" s="39"/>
      <c r="GN110" s="39"/>
      <c r="GO110" s="39"/>
      <c r="GP110" s="39"/>
      <c r="GQ110" s="39"/>
      <c r="GR110" s="39"/>
      <c r="GS110" s="39"/>
      <c r="GT110" s="39"/>
      <c r="GU110" s="39"/>
      <c r="GV110" s="39"/>
      <c r="GW110" s="39"/>
      <c r="GX110" s="39"/>
      <c r="GY110" s="39"/>
      <c r="GZ110" s="39"/>
      <c r="HA110" s="39"/>
      <c r="HB110" s="39"/>
      <c r="HC110" s="39">
        <v>1</v>
      </c>
      <c r="HD110" s="39">
        <v>1</v>
      </c>
      <c r="HE110" s="39">
        <v>0</v>
      </c>
      <c r="HF110" s="39">
        <v>0</v>
      </c>
      <c r="HG110" s="39"/>
      <c r="HH110" s="39">
        <v>0</v>
      </c>
      <c r="HI110" s="39"/>
      <c r="HJ110" s="39"/>
      <c r="HK110" s="39"/>
      <c r="HL110" s="39"/>
      <c r="HM110" s="39"/>
      <c r="HN110" s="39"/>
      <c r="HO110" s="39"/>
      <c r="HP110" s="39"/>
      <c r="HQ110" s="39"/>
      <c r="HR110" s="39"/>
      <c r="HS110" s="39"/>
      <c r="HT110" s="39"/>
      <c r="HU110" s="39"/>
      <c r="HV110" s="39"/>
      <c r="HW110" s="39"/>
      <c r="HX110" s="39"/>
      <c r="HY110" s="39"/>
      <c r="HZ110" s="39"/>
      <c r="IA110" s="39"/>
      <c r="IB110" s="39"/>
      <c r="IC110" s="39"/>
      <c r="ID110" s="39"/>
      <c r="IE110" s="54"/>
      <c r="IF110" s="43">
        <f t="shared" si="47"/>
        <v>0</v>
      </c>
      <c r="IG110" s="43">
        <f t="shared" si="48"/>
        <v>0</v>
      </c>
      <c r="IH110" s="43">
        <f t="shared" si="49"/>
        <v>0</v>
      </c>
      <c r="II110" s="43">
        <f t="shared" si="50"/>
        <v>0</v>
      </c>
      <c r="IJ110" s="43">
        <f t="shared" si="51"/>
        <v>0</v>
      </c>
      <c r="IK110" s="40">
        <f t="shared" si="46"/>
        <v>0</v>
      </c>
      <c r="IL110" s="40">
        <f t="shared" si="37"/>
        <v>0</v>
      </c>
      <c r="IM110" s="40">
        <f t="shared" si="37"/>
        <v>0</v>
      </c>
      <c r="IN110" s="40">
        <f t="shared" si="52"/>
        <v>1</v>
      </c>
      <c r="IO110" s="40">
        <f t="shared" si="53"/>
        <v>0</v>
      </c>
      <c r="IP110" s="40">
        <f t="shared" si="54"/>
        <v>0.5</v>
      </c>
      <c r="IQ110" s="40">
        <f t="shared" si="55"/>
        <v>0.5</v>
      </c>
      <c r="IR110" s="40">
        <f t="shared" si="56"/>
        <v>0</v>
      </c>
      <c r="IS110" s="40">
        <f t="shared" si="57"/>
        <v>0</v>
      </c>
      <c r="IT110" s="40">
        <f t="shared" si="58"/>
        <v>0</v>
      </c>
      <c r="IU110" s="40">
        <f t="shared" si="45"/>
        <v>0</v>
      </c>
      <c r="IV110" s="39">
        <v>1.4</v>
      </c>
      <c r="IW110" s="44">
        <v>1</v>
      </c>
      <c r="IX110" s="39"/>
    </row>
    <row r="111" spans="1:258" s="55" customFormat="1">
      <c r="A111" s="45">
        <v>105</v>
      </c>
      <c r="B111" s="38" t="s">
        <v>188</v>
      </c>
      <c r="C111" s="38" t="s">
        <v>170</v>
      </c>
      <c r="D111" s="38" t="s">
        <v>179</v>
      </c>
      <c r="E111" s="39">
        <v>39.6</v>
      </c>
      <c r="F111" s="40"/>
      <c r="G111" s="40">
        <v>250</v>
      </c>
      <c r="H111" s="40"/>
      <c r="I111" s="40">
        <v>250</v>
      </c>
      <c r="J111" s="40">
        <v>0</v>
      </c>
      <c r="K111" s="40"/>
      <c r="L111" s="40"/>
      <c r="M111" s="40"/>
      <c r="N111" s="40"/>
      <c r="O111" s="39"/>
      <c r="P111" s="39">
        <v>250</v>
      </c>
      <c r="Q111" s="39">
        <v>0</v>
      </c>
      <c r="R111" s="43"/>
      <c r="S111" s="43"/>
      <c r="T111" s="43"/>
      <c r="U111" s="43"/>
      <c r="V111" s="40">
        <v>0</v>
      </c>
      <c r="W111" s="40">
        <v>0</v>
      </c>
      <c r="X111" s="40">
        <v>0</v>
      </c>
      <c r="Y111" s="41">
        <v>0</v>
      </c>
      <c r="Z111" s="41"/>
      <c r="AA111" s="41"/>
      <c r="AB111" s="41"/>
      <c r="AC111" s="41"/>
      <c r="AD111" s="39">
        <v>0</v>
      </c>
      <c r="AE111" s="39">
        <v>0</v>
      </c>
      <c r="AF111" s="39">
        <v>0</v>
      </c>
      <c r="AG111" s="43"/>
      <c r="AH111" s="43"/>
      <c r="AI111" s="43"/>
      <c r="AJ111" s="43"/>
      <c r="AK111" s="40">
        <v>470</v>
      </c>
      <c r="AL111" s="40"/>
      <c r="AM111" s="40">
        <v>200</v>
      </c>
      <c r="AN111" s="40">
        <v>0</v>
      </c>
      <c r="AO111" s="40">
        <v>20</v>
      </c>
      <c r="AP111" s="40">
        <v>250</v>
      </c>
      <c r="AQ111" s="40"/>
      <c r="AR111" s="40"/>
      <c r="AS111" s="39"/>
      <c r="AT111" s="39">
        <v>50</v>
      </c>
      <c r="AU111" s="39">
        <v>150</v>
      </c>
      <c r="AV111" s="43"/>
      <c r="AW111" s="43">
        <v>270</v>
      </c>
      <c r="AX111" s="43"/>
      <c r="AY111" s="43"/>
      <c r="AZ111" s="40">
        <v>36</v>
      </c>
      <c r="BA111" s="40"/>
      <c r="BB111" s="40">
        <v>36</v>
      </c>
      <c r="BC111" s="40">
        <v>0</v>
      </c>
      <c r="BD111" s="40"/>
      <c r="BE111" s="40"/>
      <c r="BF111" s="40"/>
      <c r="BG111" s="40"/>
      <c r="BH111" s="40"/>
      <c r="BI111" s="40">
        <v>36</v>
      </c>
      <c r="BJ111" s="40">
        <v>0</v>
      </c>
      <c r="BK111" s="39">
        <v>0</v>
      </c>
      <c r="BL111" s="39">
        <v>0</v>
      </c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>
        <v>0.6</v>
      </c>
      <c r="CH111" s="39">
        <v>0.6</v>
      </c>
      <c r="CI111" s="39">
        <v>0</v>
      </c>
      <c r="CJ111" s="39">
        <v>0</v>
      </c>
      <c r="CK111" s="39">
        <v>0</v>
      </c>
      <c r="CL111" s="39">
        <v>0</v>
      </c>
      <c r="CM111" s="39"/>
      <c r="CN111" s="39"/>
      <c r="CO111" s="39"/>
      <c r="CP111" s="39"/>
      <c r="CQ111" s="39">
        <v>2.4</v>
      </c>
      <c r="CR111" s="39">
        <v>0</v>
      </c>
      <c r="CS111" s="39">
        <v>0</v>
      </c>
      <c r="CT111" s="39">
        <v>2.4</v>
      </c>
      <c r="CU111" s="39">
        <v>0</v>
      </c>
      <c r="CV111" s="39">
        <v>0</v>
      </c>
      <c r="CW111" s="39"/>
      <c r="CX111" s="39"/>
      <c r="CY111" s="39"/>
      <c r="CZ111" s="39">
        <v>500</v>
      </c>
      <c r="DA111" s="39">
        <v>0</v>
      </c>
      <c r="DB111" s="39">
        <v>0</v>
      </c>
      <c r="DC111" s="39">
        <v>500</v>
      </c>
      <c r="DD111" s="39">
        <v>0</v>
      </c>
      <c r="DE111" s="39">
        <v>0</v>
      </c>
      <c r="DF111" s="39"/>
      <c r="DG111" s="39"/>
      <c r="DH111" s="39"/>
      <c r="DI111" s="39">
        <v>3</v>
      </c>
      <c r="DJ111" s="39">
        <v>6</v>
      </c>
      <c r="DK111" s="39">
        <v>4</v>
      </c>
      <c r="DL111" s="39">
        <v>0</v>
      </c>
      <c r="DM111" s="39">
        <v>0</v>
      </c>
      <c r="DN111" s="39">
        <v>0</v>
      </c>
      <c r="DO111" s="39">
        <v>2</v>
      </c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>
        <v>0.3</v>
      </c>
      <c r="EK111" s="39">
        <v>0</v>
      </c>
      <c r="EL111" s="39">
        <v>0.1</v>
      </c>
      <c r="EM111" s="39">
        <v>0.1</v>
      </c>
      <c r="EN111" s="39">
        <v>0</v>
      </c>
      <c r="EO111" s="39">
        <v>0.1</v>
      </c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>
        <v>400</v>
      </c>
      <c r="FL111" s="39">
        <v>0</v>
      </c>
      <c r="FM111" s="39">
        <v>0</v>
      </c>
      <c r="FN111" s="39">
        <v>0</v>
      </c>
      <c r="FO111" s="39"/>
      <c r="FP111" s="39">
        <v>400</v>
      </c>
      <c r="FQ111" s="39"/>
      <c r="FR111" s="39"/>
      <c r="FS111" s="39">
        <f t="shared" si="31"/>
        <v>0</v>
      </c>
      <c r="FT111" s="39"/>
      <c r="FU111" s="39"/>
      <c r="FV111" s="39"/>
      <c r="FW111" s="39"/>
      <c r="FX111" s="39"/>
      <c r="FY111" s="39"/>
      <c r="FZ111" s="39"/>
      <c r="GA111" s="39"/>
      <c r="GB111" s="39"/>
      <c r="GC111" s="39"/>
      <c r="GD111" s="39"/>
      <c r="GE111" s="39"/>
      <c r="GF111" s="39"/>
      <c r="GG111" s="39"/>
      <c r="GH111" s="39"/>
      <c r="GI111" s="39"/>
      <c r="GJ111" s="39"/>
      <c r="GK111" s="39"/>
      <c r="GL111" s="39"/>
      <c r="GM111" s="39"/>
      <c r="GN111" s="39"/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R111" s="39"/>
      <c r="HS111" s="39"/>
      <c r="HT111" s="39"/>
      <c r="HU111" s="39"/>
      <c r="HV111" s="39"/>
      <c r="HW111" s="39"/>
      <c r="HX111" s="39"/>
      <c r="HY111" s="39"/>
      <c r="HZ111" s="39"/>
      <c r="IA111" s="39"/>
      <c r="IB111" s="39"/>
      <c r="IC111" s="39"/>
      <c r="ID111" s="39"/>
      <c r="IE111" s="54"/>
      <c r="IF111" s="43">
        <f t="shared" si="47"/>
        <v>0.6</v>
      </c>
      <c r="IG111" s="43">
        <f t="shared" si="48"/>
        <v>0.6</v>
      </c>
      <c r="IH111" s="43">
        <f t="shared" si="49"/>
        <v>0</v>
      </c>
      <c r="II111" s="43">
        <f t="shared" si="50"/>
        <v>0</v>
      </c>
      <c r="IJ111" s="43">
        <f t="shared" si="51"/>
        <v>0</v>
      </c>
      <c r="IK111" s="40">
        <f t="shared" si="46"/>
        <v>0</v>
      </c>
      <c r="IL111" s="40">
        <f t="shared" si="37"/>
        <v>0</v>
      </c>
      <c r="IM111" s="40">
        <f t="shared" si="37"/>
        <v>0</v>
      </c>
      <c r="IN111" s="40">
        <f t="shared" si="52"/>
        <v>2.6999999999999997</v>
      </c>
      <c r="IO111" s="40">
        <f t="shared" si="53"/>
        <v>0</v>
      </c>
      <c r="IP111" s="40">
        <f t="shared" si="54"/>
        <v>0.1</v>
      </c>
      <c r="IQ111" s="40">
        <f t="shared" si="55"/>
        <v>2.5</v>
      </c>
      <c r="IR111" s="40">
        <f t="shared" si="56"/>
        <v>0</v>
      </c>
      <c r="IS111" s="40">
        <f t="shared" si="57"/>
        <v>0.1</v>
      </c>
      <c r="IT111" s="40">
        <f t="shared" si="58"/>
        <v>0</v>
      </c>
      <c r="IU111" s="40">
        <f t="shared" si="45"/>
        <v>0</v>
      </c>
      <c r="IV111" s="39">
        <v>14.2</v>
      </c>
      <c r="IW111" s="44">
        <v>1</v>
      </c>
      <c r="IX111" s="39"/>
    </row>
    <row r="112" spans="1:258" s="55" customFormat="1">
      <c r="A112" s="37">
        <v>106</v>
      </c>
      <c r="B112" s="38" t="s">
        <v>189</v>
      </c>
      <c r="C112" s="38" t="s">
        <v>170</v>
      </c>
      <c r="D112" s="38" t="s">
        <v>179</v>
      </c>
      <c r="E112" s="39">
        <v>21.6</v>
      </c>
      <c r="F112" s="40"/>
      <c r="G112" s="40">
        <v>0</v>
      </c>
      <c r="H112" s="40"/>
      <c r="I112" s="40">
        <v>0</v>
      </c>
      <c r="J112" s="40">
        <v>0</v>
      </c>
      <c r="K112" s="40"/>
      <c r="L112" s="40"/>
      <c r="M112" s="40"/>
      <c r="N112" s="40"/>
      <c r="O112" s="39"/>
      <c r="P112" s="39">
        <v>0</v>
      </c>
      <c r="Q112" s="39">
        <v>0</v>
      </c>
      <c r="R112" s="43"/>
      <c r="S112" s="43"/>
      <c r="T112" s="43"/>
      <c r="U112" s="43"/>
      <c r="V112" s="40">
        <v>0</v>
      </c>
      <c r="W112" s="40">
        <v>0</v>
      </c>
      <c r="X112" s="40">
        <v>0</v>
      </c>
      <c r="Y112" s="41">
        <v>0</v>
      </c>
      <c r="Z112" s="41"/>
      <c r="AA112" s="41"/>
      <c r="AB112" s="41"/>
      <c r="AC112" s="41"/>
      <c r="AD112" s="39">
        <v>0</v>
      </c>
      <c r="AE112" s="39">
        <v>0</v>
      </c>
      <c r="AF112" s="39">
        <v>0</v>
      </c>
      <c r="AG112" s="43"/>
      <c r="AH112" s="43"/>
      <c r="AI112" s="43"/>
      <c r="AJ112" s="43"/>
      <c r="AK112" s="40">
        <v>665</v>
      </c>
      <c r="AL112" s="40"/>
      <c r="AM112" s="40">
        <v>160</v>
      </c>
      <c r="AN112" s="40">
        <v>0</v>
      </c>
      <c r="AO112" s="40">
        <v>0</v>
      </c>
      <c r="AP112" s="40">
        <v>505</v>
      </c>
      <c r="AQ112" s="40"/>
      <c r="AR112" s="40"/>
      <c r="AS112" s="39"/>
      <c r="AT112" s="39">
        <v>150</v>
      </c>
      <c r="AU112" s="39">
        <v>10</v>
      </c>
      <c r="AV112" s="43"/>
      <c r="AW112" s="43">
        <v>505</v>
      </c>
      <c r="AX112" s="43"/>
      <c r="AY112" s="43"/>
      <c r="AZ112" s="40">
        <v>30</v>
      </c>
      <c r="BA112" s="40"/>
      <c r="BB112" s="40">
        <v>30</v>
      </c>
      <c r="BC112" s="40">
        <v>0</v>
      </c>
      <c r="BD112" s="40"/>
      <c r="BE112" s="40"/>
      <c r="BF112" s="40"/>
      <c r="BG112" s="40"/>
      <c r="BH112" s="40"/>
      <c r="BI112" s="40">
        <v>30</v>
      </c>
      <c r="BJ112" s="40">
        <v>0</v>
      </c>
      <c r="BK112" s="39">
        <v>0</v>
      </c>
      <c r="BL112" s="39">
        <v>0</v>
      </c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>
        <v>5.5</v>
      </c>
      <c r="CR112" s="39">
        <v>1</v>
      </c>
      <c r="CS112" s="39">
        <v>3</v>
      </c>
      <c r="CT112" s="39">
        <v>1</v>
      </c>
      <c r="CU112" s="39">
        <v>0</v>
      </c>
      <c r="CV112" s="39">
        <v>0.5</v>
      </c>
      <c r="CW112" s="39"/>
      <c r="CX112" s="39"/>
      <c r="CY112" s="39"/>
      <c r="CZ112" s="39">
        <v>1000</v>
      </c>
      <c r="DA112" s="39">
        <v>500</v>
      </c>
      <c r="DB112" s="39"/>
      <c r="DC112" s="39">
        <v>300</v>
      </c>
      <c r="DD112" s="39">
        <v>0</v>
      </c>
      <c r="DE112" s="39">
        <v>200</v>
      </c>
      <c r="DF112" s="39"/>
      <c r="DG112" s="39"/>
      <c r="DH112" s="39"/>
      <c r="DI112" s="39">
        <v>1</v>
      </c>
      <c r="DJ112" s="39">
        <v>9</v>
      </c>
      <c r="DK112" s="39">
        <v>6</v>
      </c>
      <c r="DL112" s="39">
        <v>0</v>
      </c>
      <c r="DM112" s="39">
        <v>0</v>
      </c>
      <c r="DN112" s="39">
        <v>0</v>
      </c>
      <c r="DO112" s="39">
        <v>3</v>
      </c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>
        <v>0.1</v>
      </c>
      <c r="EK112" s="39">
        <v>0</v>
      </c>
      <c r="EL112" s="39">
        <v>0.05</v>
      </c>
      <c r="EM112" s="39">
        <v>0.05</v>
      </c>
      <c r="EN112" s="39">
        <v>0</v>
      </c>
      <c r="EO112" s="39">
        <v>0</v>
      </c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>
        <v>1300</v>
      </c>
      <c r="FL112" s="39">
        <v>0</v>
      </c>
      <c r="FM112" s="39">
        <v>0</v>
      </c>
      <c r="FN112" s="39">
        <v>0</v>
      </c>
      <c r="FO112" s="39"/>
      <c r="FP112" s="39">
        <v>1300</v>
      </c>
      <c r="FQ112" s="39"/>
      <c r="FR112" s="39"/>
      <c r="FS112" s="39">
        <f t="shared" si="31"/>
        <v>0</v>
      </c>
      <c r="FT112" s="39"/>
      <c r="FU112" s="39"/>
      <c r="FV112" s="39"/>
      <c r="FW112" s="39"/>
      <c r="FX112" s="39"/>
      <c r="FY112" s="39"/>
      <c r="FZ112" s="39"/>
      <c r="GA112" s="39"/>
      <c r="GB112" s="39"/>
      <c r="GC112" s="39"/>
      <c r="GD112" s="39"/>
      <c r="GE112" s="39"/>
      <c r="GF112" s="39"/>
      <c r="GG112" s="39"/>
      <c r="GH112" s="39"/>
      <c r="GI112" s="39"/>
      <c r="GJ112" s="39"/>
      <c r="GK112" s="39"/>
      <c r="GL112" s="39"/>
      <c r="GM112" s="39"/>
      <c r="GN112" s="39"/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R112" s="39"/>
      <c r="HS112" s="39"/>
      <c r="HT112" s="39"/>
      <c r="HU112" s="39"/>
      <c r="HV112" s="39"/>
      <c r="HW112" s="39"/>
      <c r="HX112" s="39"/>
      <c r="HY112" s="39"/>
      <c r="HZ112" s="39"/>
      <c r="IA112" s="39"/>
      <c r="IB112" s="39"/>
      <c r="IC112" s="39"/>
      <c r="ID112" s="39"/>
      <c r="IE112" s="54"/>
      <c r="IF112" s="43">
        <f t="shared" si="47"/>
        <v>0</v>
      </c>
      <c r="IG112" s="43">
        <f t="shared" si="48"/>
        <v>0</v>
      </c>
      <c r="IH112" s="43">
        <f t="shared" si="49"/>
        <v>0</v>
      </c>
      <c r="II112" s="43">
        <f t="shared" si="50"/>
        <v>0</v>
      </c>
      <c r="IJ112" s="43">
        <f t="shared" si="51"/>
        <v>0</v>
      </c>
      <c r="IK112" s="40">
        <f t="shared" si="46"/>
        <v>0</v>
      </c>
      <c r="IL112" s="40">
        <f t="shared" si="37"/>
        <v>0</v>
      </c>
      <c r="IM112" s="40">
        <f t="shared" si="37"/>
        <v>0</v>
      </c>
      <c r="IN112" s="40">
        <f t="shared" si="52"/>
        <v>5.6</v>
      </c>
      <c r="IO112" s="40">
        <f t="shared" si="53"/>
        <v>1</v>
      </c>
      <c r="IP112" s="40">
        <f t="shared" si="54"/>
        <v>3.05</v>
      </c>
      <c r="IQ112" s="40">
        <f t="shared" si="55"/>
        <v>1.05</v>
      </c>
      <c r="IR112" s="40">
        <f t="shared" si="56"/>
        <v>0</v>
      </c>
      <c r="IS112" s="40">
        <f t="shared" si="57"/>
        <v>0.5</v>
      </c>
      <c r="IT112" s="40">
        <f t="shared" si="58"/>
        <v>0</v>
      </c>
      <c r="IU112" s="40">
        <f t="shared" si="45"/>
        <v>0</v>
      </c>
      <c r="IV112" s="39">
        <v>5.8</v>
      </c>
      <c r="IW112" s="44">
        <v>1</v>
      </c>
      <c r="IX112" s="39"/>
    </row>
    <row r="113" spans="1:258" s="55" customFormat="1">
      <c r="A113" s="37">
        <v>107</v>
      </c>
      <c r="B113" s="38" t="s">
        <v>190</v>
      </c>
      <c r="C113" s="38" t="s">
        <v>170</v>
      </c>
      <c r="D113" s="38" t="s">
        <v>179</v>
      </c>
      <c r="E113" s="39">
        <v>11.1</v>
      </c>
      <c r="F113" s="40"/>
      <c r="G113" s="40">
        <v>0</v>
      </c>
      <c r="H113" s="40"/>
      <c r="I113" s="40">
        <v>0</v>
      </c>
      <c r="J113" s="40">
        <v>0</v>
      </c>
      <c r="K113" s="40"/>
      <c r="L113" s="40"/>
      <c r="M113" s="40"/>
      <c r="N113" s="40"/>
      <c r="O113" s="39"/>
      <c r="P113" s="39">
        <v>0</v>
      </c>
      <c r="Q113" s="39">
        <v>0</v>
      </c>
      <c r="R113" s="43"/>
      <c r="S113" s="43"/>
      <c r="T113" s="43"/>
      <c r="U113" s="43"/>
      <c r="V113" s="40">
        <v>0</v>
      </c>
      <c r="W113" s="40">
        <v>0</v>
      </c>
      <c r="X113" s="40">
        <v>0</v>
      </c>
      <c r="Y113" s="41">
        <v>0</v>
      </c>
      <c r="Z113" s="41"/>
      <c r="AA113" s="41"/>
      <c r="AB113" s="41"/>
      <c r="AC113" s="41"/>
      <c r="AD113" s="39">
        <v>0</v>
      </c>
      <c r="AE113" s="39">
        <v>0</v>
      </c>
      <c r="AF113" s="39">
        <v>0</v>
      </c>
      <c r="AG113" s="43"/>
      <c r="AH113" s="43"/>
      <c r="AI113" s="43"/>
      <c r="AJ113" s="43"/>
      <c r="AK113" s="40">
        <v>515</v>
      </c>
      <c r="AL113" s="40"/>
      <c r="AM113" s="40">
        <v>335</v>
      </c>
      <c r="AN113" s="40">
        <v>0</v>
      </c>
      <c r="AO113" s="40">
        <v>20</v>
      </c>
      <c r="AP113" s="40">
        <v>160</v>
      </c>
      <c r="AQ113" s="40"/>
      <c r="AR113" s="40"/>
      <c r="AS113" s="39"/>
      <c r="AT113" s="39">
        <v>0</v>
      </c>
      <c r="AU113" s="39">
        <v>335</v>
      </c>
      <c r="AV113" s="43"/>
      <c r="AW113" s="43">
        <v>180</v>
      </c>
      <c r="AX113" s="43"/>
      <c r="AY113" s="43"/>
      <c r="AZ113" s="40">
        <v>50</v>
      </c>
      <c r="BA113" s="40"/>
      <c r="BB113" s="40">
        <v>50</v>
      </c>
      <c r="BC113" s="40">
        <v>0</v>
      </c>
      <c r="BD113" s="40"/>
      <c r="BE113" s="40"/>
      <c r="BF113" s="40"/>
      <c r="BG113" s="40"/>
      <c r="BH113" s="40"/>
      <c r="BI113" s="40">
        <v>50</v>
      </c>
      <c r="BJ113" s="40">
        <v>0</v>
      </c>
      <c r="BK113" s="39">
        <v>0</v>
      </c>
      <c r="BL113" s="39">
        <v>0</v>
      </c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>
        <v>0.3</v>
      </c>
      <c r="CH113" s="39">
        <v>3</v>
      </c>
      <c r="CI113" s="39">
        <v>0</v>
      </c>
      <c r="CJ113" s="39">
        <v>0</v>
      </c>
      <c r="CK113" s="39">
        <v>0</v>
      </c>
      <c r="CL113" s="39">
        <v>0</v>
      </c>
      <c r="CM113" s="39"/>
      <c r="CN113" s="39"/>
      <c r="CO113" s="39"/>
      <c r="CP113" s="39"/>
      <c r="CQ113" s="39">
        <v>1.9</v>
      </c>
      <c r="CR113" s="39">
        <v>0</v>
      </c>
      <c r="CS113" s="39">
        <v>0</v>
      </c>
      <c r="CT113" s="39">
        <v>1.5</v>
      </c>
      <c r="CU113" s="39">
        <v>0</v>
      </c>
      <c r="CV113" s="39">
        <v>0.4</v>
      </c>
      <c r="CW113" s="39"/>
      <c r="CX113" s="39"/>
      <c r="CY113" s="39"/>
      <c r="CZ113" s="39">
        <v>1000</v>
      </c>
      <c r="DA113" s="39">
        <v>0</v>
      </c>
      <c r="DB113" s="39">
        <v>0</v>
      </c>
      <c r="DC113" s="39">
        <v>500</v>
      </c>
      <c r="DD113" s="39">
        <v>0</v>
      </c>
      <c r="DE113" s="39">
        <v>500</v>
      </c>
      <c r="DF113" s="39"/>
      <c r="DG113" s="39"/>
      <c r="DH113" s="39"/>
      <c r="DI113" s="39">
        <v>9</v>
      </c>
      <c r="DJ113" s="39">
        <v>12</v>
      </c>
      <c r="DK113" s="39">
        <v>0</v>
      </c>
      <c r="DL113" s="39">
        <v>0</v>
      </c>
      <c r="DM113" s="39">
        <v>0</v>
      </c>
      <c r="DN113" s="39">
        <v>0</v>
      </c>
      <c r="DO113" s="39">
        <v>12</v>
      </c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>
        <v>0.1</v>
      </c>
      <c r="EK113" s="39">
        <v>0</v>
      </c>
      <c r="EL113" s="39">
        <v>0.05</v>
      </c>
      <c r="EM113" s="39">
        <v>0.1</v>
      </c>
      <c r="EN113" s="39">
        <v>0</v>
      </c>
      <c r="EO113" s="39">
        <v>0</v>
      </c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>
        <f t="shared" si="31"/>
        <v>0</v>
      </c>
      <c r="FT113" s="39"/>
      <c r="FU113" s="39"/>
      <c r="FV113" s="39"/>
      <c r="FW113" s="39"/>
      <c r="FX113" s="39"/>
      <c r="FY113" s="39"/>
      <c r="FZ113" s="39"/>
      <c r="GA113" s="39"/>
      <c r="GB113" s="39"/>
      <c r="GC113" s="39"/>
      <c r="GD113" s="39"/>
      <c r="GE113" s="39"/>
      <c r="GF113" s="39"/>
      <c r="GG113" s="39"/>
      <c r="GH113" s="39"/>
      <c r="GI113" s="39"/>
      <c r="GJ113" s="39"/>
      <c r="GK113" s="39"/>
      <c r="GL113" s="39"/>
      <c r="GM113" s="39"/>
      <c r="GN113" s="39"/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R113" s="39"/>
      <c r="HS113" s="39"/>
      <c r="HT113" s="39"/>
      <c r="HU113" s="39"/>
      <c r="HV113" s="39"/>
      <c r="HW113" s="39"/>
      <c r="HX113" s="39"/>
      <c r="HY113" s="39"/>
      <c r="HZ113" s="39"/>
      <c r="IA113" s="39"/>
      <c r="IB113" s="39"/>
      <c r="IC113" s="39"/>
      <c r="ID113" s="39"/>
      <c r="IE113" s="54"/>
      <c r="IF113" s="43">
        <f t="shared" si="47"/>
        <v>0.3</v>
      </c>
      <c r="IG113" s="43">
        <f t="shared" si="48"/>
        <v>3</v>
      </c>
      <c r="IH113" s="43">
        <f t="shared" si="49"/>
        <v>0</v>
      </c>
      <c r="II113" s="43">
        <f t="shared" si="50"/>
        <v>0</v>
      </c>
      <c r="IJ113" s="43">
        <f t="shared" si="51"/>
        <v>0</v>
      </c>
      <c r="IK113" s="40">
        <f t="shared" si="46"/>
        <v>0</v>
      </c>
      <c r="IL113" s="40">
        <f t="shared" si="37"/>
        <v>0</v>
      </c>
      <c r="IM113" s="40">
        <f t="shared" si="37"/>
        <v>0</v>
      </c>
      <c r="IN113" s="40">
        <f t="shared" si="52"/>
        <v>2</v>
      </c>
      <c r="IO113" s="40">
        <f t="shared" si="53"/>
        <v>0</v>
      </c>
      <c r="IP113" s="40">
        <f t="shared" si="54"/>
        <v>0.05</v>
      </c>
      <c r="IQ113" s="40">
        <f t="shared" si="55"/>
        <v>1.6</v>
      </c>
      <c r="IR113" s="40">
        <f t="shared" si="56"/>
        <v>0</v>
      </c>
      <c r="IS113" s="40">
        <f t="shared" si="57"/>
        <v>0.4</v>
      </c>
      <c r="IT113" s="40">
        <f t="shared" si="58"/>
        <v>0</v>
      </c>
      <c r="IU113" s="40">
        <f t="shared" si="45"/>
        <v>0</v>
      </c>
      <c r="IV113" s="39">
        <v>4.0999999999999996</v>
      </c>
      <c r="IW113" s="44">
        <v>1</v>
      </c>
      <c r="IX113" s="39"/>
    </row>
    <row r="114" spans="1:258" s="55" customFormat="1">
      <c r="A114" s="37">
        <v>108</v>
      </c>
      <c r="B114" s="38" t="s">
        <v>191</v>
      </c>
      <c r="C114" s="38" t="s">
        <v>170</v>
      </c>
      <c r="D114" s="38" t="s">
        <v>192</v>
      </c>
      <c r="E114" s="39">
        <v>6.4</v>
      </c>
      <c r="F114" s="40"/>
      <c r="G114" s="40">
        <v>600</v>
      </c>
      <c r="H114" s="40"/>
      <c r="I114" s="40">
        <v>600</v>
      </c>
      <c r="J114" s="40">
        <v>0</v>
      </c>
      <c r="K114" s="40"/>
      <c r="L114" s="40"/>
      <c r="M114" s="40"/>
      <c r="N114" s="40"/>
      <c r="O114" s="39"/>
      <c r="P114" s="39">
        <v>600</v>
      </c>
      <c r="Q114" s="39">
        <v>0</v>
      </c>
      <c r="R114" s="43"/>
      <c r="S114" s="43"/>
      <c r="T114" s="43"/>
      <c r="U114" s="43"/>
      <c r="V114" s="40">
        <v>300</v>
      </c>
      <c r="W114" s="40">
        <v>0</v>
      </c>
      <c r="X114" s="40">
        <v>0</v>
      </c>
      <c r="Y114" s="41">
        <v>300</v>
      </c>
      <c r="Z114" s="41"/>
      <c r="AA114" s="41"/>
      <c r="AB114" s="41"/>
      <c r="AC114" s="41"/>
      <c r="AD114" s="39">
        <v>0</v>
      </c>
      <c r="AE114" s="39">
        <v>0</v>
      </c>
      <c r="AF114" s="39">
        <v>0</v>
      </c>
      <c r="AG114" s="43"/>
      <c r="AH114" s="43">
        <v>300</v>
      </c>
      <c r="AI114" s="43"/>
      <c r="AJ114" s="43"/>
      <c r="AK114" s="40">
        <v>235</v>
      </c>
      <c r="AL114" s="40"/>
      <c r="AM114" s="40">
        <v>15</v>
      </c>
      <c r="AN114" s="40">
        <v>0</v>
      </c>
      <c r="AO114" s="40">
        <v>100</v>
      </c>
      <c r="AP114" s="40">
        <v>120</v>
      </c>
      <c r="AQ114" s="40"/>
      <c r="AR114" s="40"/>
      <c r="AS114" s="39"/>
      <c r="AT114" s="39">
        <v>15</v>
      </c>
      <c r="AU114" s="39">
        <v>0</v>
      </c>
      <c r="AV114" s="43"/>
      <c r="AW114" s="43">
        <v>220</v>
      </c>
      <c r="AX114" s="43"/>
      <c r="AY114" s="43"/>
      <c r="AZ114" s="40">
        <v>110</v>
      </c>
      <c r="BA114" s="40"/>
      <c r="BB114" s="40">
        <v>110</v>
      </c>
      <c r="BC114" s="40">
        <v>0</v>
      </c>
      <c r="BD114" s="40"/>
      <c r="BE114" s="40"/>
      <c r="BF114" s="40"/>
      <c r="BG114" s="40"/>
      <c r="BH114" s="40"/>
      <c r="BI114" s="40">
        <v>110</v>
      </c>
      <c r="BJ114" s="40">
        <v>0</v>
      </c>
      <c r="BK114" s="39">
        <v>0</v>
      </c>
      <c r="BL114" s="39">
        <v>0</v>
      </c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>
        <v>0.15</v>
      </c>
      <c r="CI114" s="39"/>
      <c r="CJ114" s="39"/>
      <c r="CK114" s="39">
        <v>0</v>
      </c>
      <c r="CL114" s="39">
        <v>0</v>
      </c>
      <c r="CM114" s="39"/>
      <c r="CN114" s="39"/>
      <c r="CO114" s="39"/>
      <c r="CP114" s="39"/>
      <c r="CQ114" s="39">
        <v>1.4</v>
      </c>
      <c r="CR114" s="39">
        <v>0.5</v>
      </c>
      <c r="CS114" s="39">
        <v>1.4</v>
      </c>
      <c r="CT114" s="39">
        <v>0</v>
      </c>
      <c r="CU114" s="39">
        <v>0</v>
      </c>
      <c r="CV114" s="39">
        <v>0</v>
      </c>
      <c r="CW114" s="39"/>
      <c r="CX114" s="39"/>
      <c r="CY114" s="39"/>
      <c r="CZ114" s="39">
        <v>70</v>
      </c>
      <c r="DA114" s="39">
        <v>0</v>
      </c>
      <c r="DB114" s="39">
        <v>70</v>
      </c>
      <c r="DC114" s="39">
        <v>0</v>
      </c>
      <c r="DD114" s="39">
        <v>0</v>
      </c>
      <c r="DE114" s="39">
        <v>0</v>
      </c>
      <c r="DF114" s="39"/>
      <c r="DG114" s="39"/>
      <c r="DH114" s="39"/>
      <c r="DI114" s="39">
        <v>4</v>
      </c>
      <c r="DJ114" s="39">
        <v>7</v>
      </c>
      <c r="DK114" s="39">
        <v>7</v>
      </c>
      <c r="DL114" s="39">
        <v>0</v>
      </c>
      <c r="DM114" s="39">
        <v>0</v>
      </c>
      <c r="DN114" s="39">
        <v>0</v>
      </c>
      <c r="DO114" s="39">
        <v>0</v>
      </c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>
        <v>2.2000000000000002</v>
      </c>
      <c r="EK114" s="39">
        <v>0</v>
      </c>
      <c r="EL114" s="39">
        <v>1</v>
      </c>
      <c r="EM114" s="39">
        <v>1</v>
      </c>
      <c r="EN114" s="39">
        <v>0</v>
      </c>
      <c r="EO114" s="39">
        <v>0.2</v>
      </c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>
        <v>200</v>
      </c>
      <c r="FL114" s="39">
        <v>200</v>
      </c>
      <c r="FM114" s="39">
        <v>0</v>
      </c>
      <c r="FN114" s="39">
        <v>0</v>
      </c>
      <c r="FO114" s="39"/>
      <c r="FP114" s="39">
        <v>0</v>
      </c>
      <c r="FQ114" s="39"/>
      <c r="FR114" s="39"/>
      <c r="FS114" s="39">
        <f t="shared" si="31"/>
        <v>0</v>
      </c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54"/>
      <c r="IF114" s="43">
        <f t="shared" si="47"/>
        <v>0</v>
      </c>
      <c r="IG114" s="43">
        <f t="shared" si="48"/>
        <v>0.15</v>
      </c>
      <c r="IH114" s="43">
        <f t="shared" si="49"/>
        <v>0</v>
      </c>
      <c r="II114" s="43">
        <f t="shared" si="50"/>
        <v>0</v>
      </c>
      <c r="IJ114" s="43">
        <f t="shared" si="51"/>
        <v>0</v>
      </c>
      <c r="IK114" s="40">
        <f t="shared" si="46"/>
        <v>0</v>
      </c>
      <c r="IL114" s="40">
        <f t="shared" si="37"/>
        <v>0</v>
      </c>
      <c r="IM114" s="40">
        <f t="shared" si="37"/>
        <v>0</v>
      </c>
      <c r="IN114" s="40">
        <f t="shared" si="52"/>
        <v>3.6</v>
      </c>
      <c r="IO114" s="40">
        <f t="shared" si="53"/>
        <v>0.5</v>
      </c>
      <c r="IP114" s="40">
        <f t="shared" si="54"/>
        <v>2.4</v>
      </c>
      <c r="IQ114" s="40">
        <f t="shared" si="55"/>
        <v>1</v>
      </c>
      <c r="IR114" s="40">
        <f t="shared" si="56"/>
        <v>0</v>
      </c>
      <c r="IS114" s="40">
        <f t="shared" si="57"/>
        <v>0.2</v>
      </c>
      <c r="IT114" s="40">
        <f t="shared" si="58"/>
        <v>0</v>
      </c>
      <c r="IU114" s="40">
        <f t="shared" si="45"/>
        <v>0</v>
      </c>
      <c r="IV114" s="39">
        <v>0.8</v>
      </c>
      <c r="IW114" s="44">
        <v>1</v>
      </c>
      <c r="IX114" s="39"/>
    </row>
    <row r="115" spans="1:258" s="55" customFormat="1">
      <c r="A115" s="45">
        <v>109</v>
      </c>
      <c r="B115" s="38" t="s">
        <v>193</v>
      </c>
      <c r="C115" s="38" t="s">
        <v>170</v>
      </c>
      <c r="D115" s="38" t="s">
        <v>192</v>
      </c>
      <c r="E115" s="39">
        <v>88</v>
      </c>
      <c r="F115" s="40"/>
      <c r="G115" s="40">
        <v>100</v>
      </c>
      <c r="H115" s="40"/>
      <c r="I115" s="40">
        <v>100</v>
      </c>
      <c r="J115" s="40">
        <v>0</v>
      </c>
      <c r="K115" s="40"/>
      <c r="L115" s="40"/>
      <c r="M115" s="40"/>
      <c r="N115" s="40"/>
      <c r="O115" s="39"/>
      <c r="P115" s="39">
        <v>100</v>
      </c>
      <c r="Q115" s="39">
        <v>0</v>
      </c>
      <c r="R115" s="43"/>
      <c r="S115" s="43"/>
      <c r="T115" s="43"/>
      <c r="U115" s="43"/>
      <c r="V115" s="40">
        <v>0</v>
      </c>
      <c r="W115" s="40">
        <v>0</v>
      </c>
      <c r="X115" s="40">
        <v>0</v>
      </c>
      <c r="Y115" s="41">
        <v>0</v>
      </c>
      <c r="Z115" s="41"/>
      <c r="AA115" s="41"/>
      <c r="AB115" s="41"/>
      <c r="AC115" s="41"/>
      <c r="AD115" s="39">
        <v>0</v>
      </c>
      <c r="AE115" s="39">
        <v>0</v>
      </c>
      <c r="AF115" s="39">
        <v>0</v>
      </c>
      <c r="AG115" s="43"/>
      <c r="AH115" s="43"/>
      <c r="AI115" s="43"/>
      <c r="AJ115" s="43"/>
      <c r="AK115" s="40">
        <v>348</v>
      </c>
      <c r="AL115" s="40"/>
      <c r="AM115" s="40">
        <v>338</v>
      </c>
      <c r="AN115" s="40">
        <v>0</v>
      </c>
      <c r="AO115" s="40">
        <v>10</v>
      </c>
      <c r="AP115" s="40">
        <v>0</v>
      </c>
      <c r="AQ115" s="40"/>
      <c r="AR115" s="40"/>
      <c r="AS115" s="39"/>
      <c r="AT115" s="39">
        <v>250</v>
      </c>
      <c r="AU115" s="39">
        <v>88</v>
      </c>
      <c r="AV115" s="43"/>
      <c r="AW115" s="43">
        <v>10</v>
      </c>
      <c r="AX115" s="43"/>
      <c r="AY115" s="43"/>
      <c r="AZ115" s="40">
        <v>55</v>
      </c>
      <c r="BA115" s="40"/>
      <c r="BB115" s="40">
        <v>55</v>
      </c>
      <c r="BC115" s="40">
        <v>0</v>
      </c>
      <c r="BD115" s="40"/>
      <c r="BE115" s="40"/>
      <c r="BF115" s="40"/>
      <c r="BG115" s="40"/>
      <c r="BH115" s="40"/>
      <c r="BI115" s="40">
        <v>55</v>
      </c>
      <c r="BJ115" s="40">
        <v>0</v>
      </c>
      <c r="BK115" s="39">
        <v>0</v>
      </c>
      <c r="BL115" s="39">
        <v>0</v>
      </c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>
        <v>0.2</v>
      </c>
      <c r="CH115" s="39">
        <v>0.2</v>
      </c>
      <c r="CI115" s="39">
        <v>0</v>
      </c>
      <c r="CJ115" s="39">
        <v>0</v>
      </c>
      <c r="CK115" s="39">
        <v>0</v>
      </c>
      <c r="CL115" s="39">
        <v>0</v>
      </c>
      <c r="CM115" s="39"/>
      <c r="CN115" s="39"/>
      <c r="CO115" s="39"/>
      <c r="CP115" s="39"/>
      <c r="CQ115" s="39">
        <v>5.9</v>
      </c>
      <c r="CR115" s="39">
        <v>1</v>
      </c>
      <c r="CS115" s="39">
        <v>2</v>
      </c>
      <c r="CT115" s="39">
        <v>2.5</v>
      </c>
      <c r="CU115" s="39">
        <v>0</v>
      </c>
      <c r="CV115" s="39">
        <v>0.4</v>
      </c>
      <c r="CW115" s="39"/>
      <c r="CX115" s="39"/>
      <c r="CY115" s="39"/>
      <c r="CZ115" s="39">
        <v>1500</v>
      </c>
      <c r="DA115" s="39">
        <v>800</v>
      </c>
      <c r="DB115" s="39">
        <v>0</v>
      </c>
      <c r="DC115" s="39">
        <v>400</v>
      </c>
      <c r="DD115" s="39">
        <v>0</v>
      </c>
      <c r="DE115" s="39">
        <v>300</v>
      </c>
      <c r="DF115" s="39"/>
      <c r="DG115" s="39"/>
      <c r="DH115" s="39"/>
      <c r="DI115" s="39">
        <v>2</v>
      </c>
      <c r="DJ115" s="39">
        <v>10</v>
      </c>
      <c r="DK115" s="39">
        <v>8</v>
      </c>
      <c r="DL115" s="39">
        <v>2</v>
      </c>
      <c r="DM115" s="39">
        <v>0</v>
      </c>
      <c r="DN115" s="39">
        <v>0</v>
      </c>
      <c r="DO115" s="39">
        <v>0</v>
      </c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>
        <v>0.1</v>
      </c>
      <c r="EK115" s="39">
        <v>0</v>
      </c>
      <c r="EL115" s="39">
        <v>0.08</v>
      </c>
      <c r="EM115" s="39">
        <v>0.02</v>
      </c>
      <c r="EN115" s="39">
        <v>0</v>
      </c>
      <c r="EO115" s="39">
        <v>0</v>
      </c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>
        <v>500</v>
      </c>
      <c r="FL115" s="39">
        <v>350</v>
      </c>
      <c r="FM115" s="39">
        <v>150</v>
      </c>
      <c r="FN115" s="39">
        <v>0</v>
      </c>
      <c r="FO115" s="39"/>
      <c r="FP115" s="39"/>
      <c r="FQ115" s="39">
        <v>200</v>
      </c>
      <c r="FR115" s="39"/>
      <c r="FS115" s="39">
        <f t="shared" si="31"/>
        <v>0</v>
      </c>
      <c r="FT115" s="39"/>
      <c r="FU115" s="39"/>
      <c r="FV115" s="39"/>
      <c r="FW115" s="39"/>
      <c r="FX115" s="39">
        <v>1</v>
      </c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R115" s="39"/>
      <c r="HS115" s="39"/>
      <c r="HT115" s="39"/>
      <c r="HU115" s="39"/>
      <c r="HV115" s="39"/>
      <c r="HW115" s="39"/>
      <c r="HX115" s="39"/>
      <c r="HY115" s="39"/>
      <c r="HZ115" s="39"/>
      <c r="IA115" s="39"/>
      <c r="IB115" s="39"/>
      <c r="IC115" s="39"/>
      <c r="ID115" s="39"/>
      <c r="IE115" s="54"/>
      <c r="IF115" s="43">
        <f t="shared" si="47"/>
        <v>0.2</v>
      </c>
      <c r="IG115" s="43">
        <f t="shared" si="48"/>
        <v>0.2</v>
      </c>
      <c r="IH115" s="43">
        <f t="shared" si="49"/>
        <v>0</v>
      </c>
      <c r="II115" s="43">
        <f t="shared" si="50"/>
        <v>0</v>
      </c>
      <c r="IJ115" s="43">
        <f t="shared" si="51"/>
        <v>0</v>
      </c>
      <c r="IK115" s="40">
        <f t="shared" si="46"/>
        <v>0</v>
      </c>
      <c r="IL115" s="40">
        <f t="shared" si="37"/>
        <v>0</v>
      </c>
      <c r="IM115" s="40">
        <f t="shared" si="37"/>
        <v>0</v>
      </c>
      <c r="IN115" s="40">
        <f t="shared" si="52"/>
        <v>6</v>
      </c>
      <c r="IO115" s="40">
        <f t="shared" si="53"/>
        <v>1</v>
      </c>
      <c r="IP115" s="40">
        <f t="shared" si="54"/>
        <v>2.08</v>
      </c>
      <c r="IQ115" s="40">
        <f t="shared" si="55"/>
        <v>2.52</v>
      </c>
      <c r="IR115" s="40">
        <f t="shared" si="56"/>
        <v>0</v>
      </c>
      <c r="IS115" s="40">
        <f t="shared" si="57"/>
        <v>0.4</v>
      </c>
      <c r="IT115" s="40">
        <f t="shared" si="58"/>
        <v>0</v>
      </c>
      <c r="IU115" s="40">
        <f t="shared" si="45"/>
        <v>0</v>
      </c>
      <c r="IV115" s="39">
        <v>48.1</v>
      </c>
      <c r="IW115" s="44">
        <v>1</v>
      </c>
      <c r="IX115" s="39"/>
    </row>
    <row r="116" spans="1:258" s="55" customFormat="1">
      <c r="A116" s="37">
        <v>110</v>
      </c>
      <c r="B116" s="38" t="s">
        <v>194</v>
      </c>
      <c r="C116" s="38" t="s">
        <v>170</v>
      </c>
      <c r="D116" s="38" t="s">
        <v>192</v>
      </c>
      <c r="E116" s="39">
        <v>33.200000000000003</v>
      </c>
      <c r="F116" s="40"/>
      <c r="G116" s="40">
        <v>50</v>
      </c>
      <c r="H116" s="40"/>
      <c r="I116" s="40">
        <v>50</v>
      </c>
      <c r="J116" s="40">
        <v>0</v>
      </c>
      <c r="K116" s="40"/>
      <c r="L116" s="40"/>
      <c r="M116" s="40"/>
      <c r="N116" s="40"/>
      <c r="O116" s="39"/>
      <c r="P116" s="39">
        <v>50</v>
      </c>
      <c r="Q116" s="39">
        <v>0</v>
      </c>
      <c r="R116" s="43"/>
      <c r="S116" s="43"/>
      <c r="T116" s="43"/>
      <c r="U116" s="43"/>
      <c r="V116" s="40">
        <v>0</v>
      </c>
      <c r="W116" s="40">
        <v>0</v>
      </c>
      <c r="X116" s="40">
        <v>0</v>
      </c>
      <c r="Y116" s="41">
        <v>0</v>
      </c>
      <c r="Z116" s="41"/>
      <c r="AA116" s="41"/>
      <c r="AB116" s="41"/>
      <c r="AC116" s="41"/>
      <c r="AD116" s="39">
        <v>0</v>
      </c>
      <c r="AE116" s="39">
        <v>0</v>
      </c>
      <c r="AF116" s="39">
        <v>0</v>
      </c>
      <c r="AG116" s="43"/>
      <c r="AH116" s="43"/>
      <c r="AI116" s="43"/>
      <c r="AJ116" s="43"/>
      <c r="AK116" s="40">
        <v>120</v>
      </c>
      <c r="AL116" s="40"/>
      <c r="AM116" s="40">
        <v>80</v>
      </c>
      <c r="AN116" s="40">
        <v>0</v>
      </c>
      <c r="AO116" s="40">
        <v>0</v>
      </c>
      <c r="AP116" s="40">
        <v>40</v>
      </c>
      <c r="AQ116" s="40"/>
      <c r="AR116" s="40"/>
      <c r="AS116" s="39"/>
      <c r="AT116" s="39">
        <v>80</v>
      </c>
      <c r="AU116" s="39">
        <v>0</v>
      </c>
      <c r="AV116" s="43"/>
      <c r="AW116" s="43">
        <v>40</v>
      </c>
      <c r="AX116" s="43"/>
      <c r="AY116" s="43"/>
      <c r="AZ116" s="40">
        <v>0</v>
      </c>
      <c r="BA116" s="40"/>
      <c r="BB116" s="40">
        <v>0</v>
      </c>
      <c r="BC116" s="40">
        <v>0</v>
      </c>
      <c r="BD116" s="40"/>
      <c r="BE116" s="40"/>
      <c r="BF116" s="40"/>
      <c r="BG116" s="40"/>
      <c r="BH116" s="40"/>
      <c r="BI116" s="40">
        <v>0</v>
      </c>
      <c r="BJ116" s="40">
        <v>0</v>
      </c>
      <c r="BK116" s="39">
        <v>0</v>
      </c>
      <c r="BL116" s="39">
        <v>0</v>
      </c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>
        <v>3.8</v>
      </c>
      <c r="CR116" s="39">
        <v>0</v>
      </c>
      <c r="CS116" s="39">
        <v>3.8</v>
      </c>
      <c r="CT116" s="39">
        <v>0</v>
      </c>
      <c r="CU116" s="39">
        <v>0</v>
      </c>
      <c r="CV116" s="39">
        <v>0</v>
      </c>
      <c r="CW116" s="39"/>
      <c r="CX116" s="39"/>
      <c r="CY116" s="39"/>
      <c r="CZ116" s="39">
        <v>480</v>
      </c>
      <c r="DA116" s="39"/>
      <c r="DB116" s="39">
        <v>480</v>
      </c>
      <c r="DC116" s="39">
        <v>0</v>
      </c>
      <c r="DD116" s="39">
        <v>0</v>
      </c>
      <c r="DE116" s="39">
        <v>0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>
        <v>1</v>
      </c>
      <c r="FC116" s="39">
        <v>1</v>
      </c>
      <c r="FD116" s="39">
        <v>0</v>
      </c>
      <c r="FE116" s="39">
        <v>0</v>
      </c>
      <c r="FF116" s="39"/>
      <c r="FG116" s="39">
        <v>0</v>
      </c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>
        <f t="shared" si="31"/>
        <v>0</v>
      </c>
      <c r="FT116" s="39"/>
      <c r="FU116" s="39"/>
      <c r="FV116" s="39"/>
      <c r="FW116" s="39"/>
      <c r="FX116" s="39"/>
      <c r="FY116" s="39"/>
      <c r="FZ116" s="39"/>
      <c r="GA116" s="39"/>
      <c r="GB116" s="39"/>
      <c r="GC116" s="39"/>
      <c r="GD116" s="39"/>
      <c r="GE116" s="39"/>
      <c r="GF116" s="39"/>
      <c r="GG116" s="39"/>
      <c r="GH116" s="39"/>
      <c r="GI116" s="39"/>
      <c r="GJ116" s="39"/>
      <c r="GK116" s="39"/>
      <c r="GL116" s="39"/>
      <c r="GM116" s="39"/>
      <c r="GN116" s="39"/>
      <c r="GO116" s="39"/>
      <c r="GP116" s="39"/>
      <c r="GQ116" s="39"/>
      <c r="GR116" s="39"/>
      <c r="GS116" s="39"/>
      <c r="GT116" s="39"/>
      <c r="GU116" s="39"/>
      <c r="GV116" s="39"/>
      <c r="GW116" s="39"/>
      <c r="GX116" s="39"/>
      <c r="GY116" s="39"/>
      <c r="GZ116" s="39"/>
      <c r="HA116" s="39"/>
      <c r="HB116" s="39"/>
      <c r="HC116" s="39"/>
      <c r="HD116" s="39"/>
      <c r="HE116" s="39"/>
      <c r="HF116" s="39"/>
      <c r="HG116" s="39"/>
      <c r="HH116" s="39"/>
      <c r="HI116" s="39"/>
      <c r="HJ116" s="39"/>
      <c r="HK116" s="39"/>
      <c r="HL116" s="39"/>
      <c r="HM116" s="39"/>
      <c r="HN116" s="39"/>
      <c r="HO116" s="39"/>
      <c r="HP116" s="39"/>
      <c r="HQ116" s="39"/>
      <c r="HR116" s="39"/>
      <c r="HS116" s="39"/>
      <c r="HT116" s="39"/>
      <c r="HU116" s="39"/>
      <c r="HV116" s="39"/>
      <c r="HW116" s="39"/>
      <c r="HX116" s="39"/>
      <c r="HY116" s="39"/>
      <c r="HZ116" s="39"/>
      <c r="IA116" s="39"/>
      <c r="IB116" s="39"/>
      <c r="IC116" s="39"/>
      <c r="ID116" s="39"/>
      <c r="IE116" s="54"/>
      <c r="IF116" s="43">
        <f t="shared" si="47"/>
        <v>0</v>
      </c>
      <c r="IG116" s="43">
        <f t="shared" si="48"/>
        <v>0</v>
      </c>
      <c r="IH116" s="43">
        <f t="shared" si="49"/>
        <v>0</v>
      </c>
      <c r="II116" s="43">
        <f t="shared" si="50"/>
        <v>0</v>
      </c>
      <c r="IJ116" s="43">
        <f t="shared" si="51"/>
        <v>0</v>
      </c>
      <c r="IK116" s="40">
        <f t="shared" si="46"/>
        <v>0</v>
      </c>
      <c r="IL116" s="40">
        <f t="shared" si="37"/>
        <v>0</v>
      </c>
      <c r="IM116" s="40">
        <f t="shared" si="37"/>
        <v>0</v>
      </c>
      <c r="IN116" s="40">
        <f t="shared" si="52"/>
        <v>3.8</v>
      </c>
      <c r="IO116" s="40">
        <f t="shared" si="53"/>
        <v>0</v>
      </c>
      <c r="IP116" s="40">
        <f t="shared" si="54"/>
        <v>3.8</v>
      </c>
      <c r="IQ116" s="40">
        <f t="shared" si="55"/>
        <v>0</v>
      </c>
      <c r="IR116" s="40">
        <f t="shared" si="56"/>
        <v>0</v>
      </c>
      <c r="IS116" s="40">
        <f t="shared" si="57"/>
        <v>0</v>
      </c>
      <c r="IT116" s="40">
        <f t="shared" si="58"/>
        <v>0</v>
      </c>
      <c r="IU116" s="40">
        <f t="shared" si="45"/>
        <v>0</v>
      </c>
      <c r="IV116" s="39">
        <v>10.4</v>
      </c>
      <c r="IW116" s="44">
        <v>1</v>
      </c>
      <c r="IX116" s="39"/>
    </row>
    <row r="117" spans="1:258" s="55" customFormat="1">
      <c r="A117" s="37">
        <v>112</v>
      </c>
      <c r="B117" s="38" t="s">
        <v>195</v>
      </c>
      <c r="C117" s="38" t="s">
        <v>170</v>
      </c>
      <c r="D117" s="38" t="s">
        <v>196</v>
      </c>
      <c r="E117" s="39">
        <v>24.7</v>
      </c>
      <c r="F117" s="40"/>
      <c r="G117" s="40">
        <v>60</v>
      </c>
      <c r="H117" s="40"/>
      <c r="I117" s="40">
        <v>60</v>
      </c>
      <c r="J117" s="40">
        <v>0</v>
      </c>
      <c r="K117" s="40"/>
      <c r="L117" s="40"/>
      <c r="M117" s="40"/>
      <c r="N117" s="40"/>
      <c r="O117" s="39"/>
      <c r="P117" s="39">
        <v>60</v>
      </c>
      <c r="Q117" s="39">
        <v>0</v>
      </c>
      <c r="R117" s="43"/>
      <c r="S117" s="43"/>
      <c r="T117" s="43"/>
      <c r="U117" s="43"/>
      <c r="V117" s="40">
        <v>0</v>
      </c>
      <c r="W117" s="40">
        <v>0</v>
      </c>
      <c r="X117" s="40">
        <v>0</v>
      </c>
      <c r="Y117" s="41">
        <v>0</v>
      </c>
      <c r="Z117" s="41"/>
      <c r="AA117" s="41"/>
      <c r="AB117" s="41"/>
      <c r="AC117" s="41"/>
      <c r="AD117" s="39">
        <v>0</v>
      </c>
      <c r="AE117" s="39">
        <v>0</v>
      </c>
      <c r="AF117" s="39">
        <v>0</v>
      </c>
      <c r="AG117" s="43"/>
      <c r="AH117" s="43"/>
      <c r="AI117" s="43"/>
      <c r="AJ117" s="43"/>
      <c r="AK117" s="40">
        <v>70</v>
      </c>
      <c r="AL117" s="40"/>
      <c r="AM117" s="40">
        <v>20</v>
      </c>
      <c r="AN117" s="40">
        <v>0</v>
      </c>
      <c r="AO117" s="40">
        <v>0</v>
      </c>
      <c r="AP117" s="40">
        <v>50</v>
      </c>
      <c r="AQ117" s="40"/>
      <c r="AR117" s="40"/>
      <c r="AS117" s="39"/>
      <c r="AT117" s="39">
        <v>20</v>
      </c>
      <c r="AU117" s="39">
        <v>0</v>
      </c>
      <c r="AV117" s="43"/>
      <c r="AW117" s="43">
        <v>50</v>
      </c>
      <c r="AX117" s="43"/>
      <c r="AY117" s="43"/>
      <c r="AZ117" s="40">
        <v>0</v>
      </c>
      <c r="BA117" s="40"/>
      <c r="BB117" s="40">
        <v>0</v>
      </c>
      <c r="BC117" s="40">
        <v>0</v>
      </c>
      <c r="BD117" s="40"/>
      <c r="BE117" s="40"/>
      <c r="BF117" s="40"/>
      <c r="BG117" s="40"/>
      <c r="BH117" s="40"/>
      <c r="BI117" s="40">
        <v>0</v>
      </c>
      <c r="BJ117" s="40">
        <v>0</v>
      </c>
      <c r="BK117" s="39">
        <v>0</v>
      </c>
      <c r="BL117" s="39">
        <v>0</v>
      </c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>
        <v>0.7</v>
      </c>
      <c r="CH117" s="39"/>
      <c r="CI117" s="39">
        <v>0</v>
      </c>
      <c r="CJ117" s="39">
        <v>0</v>
      </c>
      <c r="CK117" s="39">
        <v>0</v>
      </c>
      <c r="CL117" s="39">
        <v>0.7</v>
      </c>
      <c r="CM117" s="39"/>
      <c r="CN117" s="39"/>
      <c r="CO117" s="39"/>
      <c r="CP117" s="39"/>
      <c r="CQ117" s="39">
        <v>6.4</v>
      </c>
      <c r="CR117" s="39"/>
      <c r="CS117" s="39">
        <v>0</v>
      </c>
      <c r="CT117" s="39">
        <v>4</v>
      </c>
      <c r="CU117" s="39">
        <v>0</v>
      </c>
      <c r="CV117" s="39">
        <v>2.4</v>
      </c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>
        <v>1</v>
      </c>
      <c r="DJ117" s="39">
        <v>4</v>
      </c>
      <c r="DK117" s="39"/>
      <c r="DL117" s="39">
        <v>0</v>
      </c>
      <c r="DM117" s="39">
        <v>0</v>
      </c>
      <c r="DN117" s="39">
        <v>0</v>
      </c>
      <c r="DO117" s="39">
        <v>4</v>
      </c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>
        <v>0.2</v>
      </c>
      <c r="EK117" s="39">
        <v>0</v>
      </c>
      <c r="EL117" s="39">
        <v>0</v>
      </c>
      <c r="EM117" s="39">
        <v>0.2</v>
      </c>
      <c r="EN117" s="39">
        <v>0</v>
      </c>
      <c r="EO117" s="39">
        <v>0</v>
      </c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>
        <v>0</v>
      </c>
      <c r="FQ117" s="39"/>
      <c r="FR117" s="39"/>
      <c r="FS117" s="39">
        <f t="shared" si="31"/>
        <v>0</v>
      </c>
      <c r="FT117" s="39"/>
      <c r="FU117" s="39"/>
      <c r="FV117" s="39"/>
      <c r="FW117" s="39"/>
      <c r="FX117" s="39"/>
      <c r="FY117" s="39"/>
      <c r="FZ117" s="39"/>
      <c r="GA117" s="39"/>
      <c r="GB117" s="39"/>
      <c r="GC117" s="39"/>
      <c r="GD117" s="39"/>
      <c r="GE117" s="39"/>
      <c r="GF117" s="39"/>
      <c r="GG117" s="39"/>
      <c r="GH117" s="39"/>
      <c r="GI117" s="39"/>
      <c r="GJ117" s="39"/>
      <c r="GK117" s="39"/>
      <c r="GL117" s="39"/>
      <c r="GM117" s="39"/>
      <c r="GN117" s="39"/>
      <c r="GO117" s="39"/>
      <c r="GP117" s="39"/>
      <c r="GQ117" s="39"/>
      <c r="GR117" s="39"/>
      <c r="GS117" s="39"/>
      <c r="GT117" s="39"/>
      <c r="GU117" s="39"/>
      <c r="GV117" s="39"/>
      <c r="GW117" s="39"/>
      <c r="GX117" s="39"/>
      <c r="GY117" s="39"/>
      <c r="GZ117" s="39"/>
      <c r="HA117" s="39"/>
      <c r="HB117" s="39"/>
      <c r="HC117" s="39"/>
      <c r="HD117" s="39"/>
      <c r="HE117" s="39"/>
      <c r="HF117" s="39"/>
      <c r="HG117" s="39"/>
      <c r="HH117" s="39"/>
      <c r="HI117" s="39"/>
      <c r="HJ117" s="39"/>
      <c r="HK117" s="39"/>
      <c r="HL117" s="39"/>
      <c r="HM117" s="39"/>
      <c r="HN117" s="39"/>
      <c r="HO117" s="39"/>
      <c r="HP117" s="39"/>
      <c r="HQ117" s="39"/>
      <c r="HR117" s="39"/>
      <c r="HS117" s="39"/>
      <c r="HT117" s="39"/>
      <c r="HU117" s="39"/>
      <c r="HV117" s="39"/>
      <c r="HW117" s="39"/>
      <c r="HX117" s="39"/>
      <c r="HY117" s="39"/>
      <c r="HZ117" s="39"/>
      <c r="IA117" s="39"/>
      <c r="IB117" s="39"/>
      <c r="IC117" s="39"/>
      <c r="ID117" s="39"/>
      <c r="IE117" s="54"/>
      <c r="IF117" s="43">
        <f t="shared" si="47"/>
        <v>0.7</v>
      </c>
      <c r="IG117" s="43">
        <f t="shared" si="48"/>
        <v>0</v>
      </c>
      <c r="IH117" s="43">
        <f t="shared" si="49"/>
        <v>0</v>
      </c>
      <c r="II117" s="43">
        <f t="shared" si="50"/>
        <v>0</v>
      </c>
      <c r="IJ117" s="43">
        <f t="shared" si="51"/>
        <v>0</v>
      </c>
      <c r="IK117" s="40">
        <f t="shared" si="46"/>
        <v>0.7</v>
      </c>
      <c r="IL117" s="40">
        <f t="shared" si="37"/>
        <v>0</v>
      </c>
      <c r="IM117" s="40">
        <f t="shared" si="37"/>
        <v>0</v>
      </c>
      <c r="IN117" s="40">
        <f t="shared" si="52"/>
        <v>6.6000000000000005</v>
      </c>
      <c r="IO117" s="40">
        <f t="shared" si="53"/>
        <v>0</v>
      </c>
      <c r="IP117" s="40">
        <f t="shared" si="54"/>
        <v>0</v>
      </c>
      <c r="IQ117" s="40">
        <f t="shared" si="55"/>
        <v>4.2</v>
      </c>
      <c r="IR117" s="40">
        <f t="shared" si="56"/>
        <v>0</v>
      </c>
      <c r="IS117" s="40">
        <f t="shared" si="57"/>
        <v>2.4</v>
      </c>
      <c r="IT117" s="40">
        <f t="shared" si="58"/>
        <v>0</v>
      </c>
      <c r="IU117" s="40">
        <f t="shared" si="45"/>
        <v>0</v>
      </c>
      <c r="IV117" s="39">
        <v>2</v>
      </c>
      <c r="IW117" s="44">
        <v>1</v>
      </c>
      <c r="IX117" s="39"/>
    </row>
    <row r="118" spans="1:258" s="55" customFormat="1">
      <c r="A118" s="37">
        <v>113</v>
      </c>
      <c r="B118" s="38" t="s">
        <v>197</v>
      </c>
      <c r="C118" s="38" t="s">
        <v>170</v>
      </c>
      <c r="D118" s="38" t="s">
        <v>196</v>
      </c>
      <c r="E118" s="39">
        <v>27.1</v>
      </c>
      <c r="F118" s="40"/>
      <c r="G118" s="40">
        <v>50</v>
      </c>
      <c r="H118" s="40"/>
      <c r="I118" s="40">
        <v>50</v>
      </c>
      <c r="J118" s="40">
        <v>0</v>
      </c>
      <c r="K118" s="40"/>
      <c r="L118" s="40"/>
      <c r="M118" s="40"/>
      <c r="N118" s="40"/>
      <c r="O118" s="39"/>
      <c r="P118" s="39">
        <v>50</v>
      </c>
      <c r="Q118" s="39">
        <v>0</v>
      </c>
      <c r="R118" s="43"/>
      <c r="S118" s="43"/>
      <c r="T118" s="43"/>
      <c r="U118" s="43"/>
      <c r="V118" s="40">
        <v>0</v>
      </c>
      <c r="W118" s="40">
        <v>0</v>
      </c>
      <c r="X118" s="40">
        <v>0</v>
      </c>
      <c r="Y118" s="41">
        <v>0</v>
      </c>
      <c r="Z118" s="41"/>
      <c r="AA118" s="41"/>
      <c r="AB118" s="41"/>
      <c r="AC118" s="41"/>
      <c r="AD118" s="39">
        <v>0</v>
      </c>
      <c r="AE118" s="39">
        <v>0</v>
      </c>
      <c r="AF118" s="39">
        <v>0</v>
      </c>
      <c r="AG118" s="43"/>
      <c r="AH118" s="43"/>
      <c r="AI118" s="43"/>
      <c r="AJ118" s="43"/>
      <c r="AK118" s="40">
        <v>69</v>
      </c>
      <c r="AL118" s="40"/>
      <c r="AM118" s="40">
        <v>50</v>
      </c>
      <c r="AN118" s="40">
        <v>0</v>
      </c>
      <c r="AO118" s="40">
        <v>5</v>
      </c>
      <c r="AP118" s="40">
        <v>14</v>
      </c>
      <c r="AQ118" s="40"/>
      <c r="AR118" s="40"/>
      <c r="AS118" s="39"/>
      <c r="AT118" s="39">
        <v>50</v>
      </c>
      <c r="AU118" s="39">
        <v>0</v>
      </c>
      <c r="AV118" s="43"/>
      <c r="AW118" s="43">
        <v>19</v>
      </c>
      <c r="AX118" s="43"/>
      <c r="AY118" s="43"/>
      <c r="AZ118" s="40">
        <v>25</v>
      </c>
      <c r="BA118" s="40"/>
      <c r="BB118" s="40">
        <v>25</v>
      </c>
      <c r="BC118" s="40">
        <v>0</v>
      </c>
      <c r="BD118" s="40"/>
      <c r="BE118" s="40"/>
      <c r="BF118" s="40"/>
      <c r="BG118" s="40"/>
      <c r="BH118" s="40"/>
      <c r="BI118" s="40">
        <v>25</v>
      </c>
      <c r="BJ118" s="40">
        <v>0</v>
      </c>
      <c r="BK118" s="39">
        <v>0</v>
      </c>
      <c r="BL118" s="39">
        <v>0</v>
      </c>
      <c r="BM118" s="39"/>
      <c r="BN118" s="39"/>
      <c r="BO118" s="39">
        <v>1</v>
      </c>
      <c r="BP118" s="39">
        <v>0.5</v>
      </c>
      <c r="BQ118" s="39">
        <v>0</v>
      </c>
      <c r="BR118" s="39">
        <v>0.5</v>
      </c>
      <c r="BS118" s="39"/>
      <c r="BT118" s="39"/>
      <c r="BU118" s="39"/>
      <c r="BV118" s="39"/>
      <c r="BW118" s="39"/>
      <c r="BX118" s="39">
        <v>0.6</v>
      </c>
      <c r="BY118" s="39">
        <v>0.3</v>
      </c>
      <c r="BZ118" s="39">
        <v>0</v>
      </c>
      <c r="CA118" s="39">
        <v>0.3</v>
      </c>
      <c r="CB118" s="39">
        <v>0</v>
      </c>
      <c r="CC118" s="39">
        <v>0</v>
      </c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>
        <v>2.4</v>
      </c>
      <c r="CR118" s="39">
        <v>0</v>
      </c>
      <c r="CS118" s="39">
        <v>0</v>
      </c>
      <c r="CT118" s="39">
        <v>0</v>
      </c>
      <c r="CU118" s="39">
        <v>0</v>
      </c>
      <c r="CV118" s="39">
        <v>2.4</v>
      </c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>
        <v>0.1</v>
      </c>
      <c r="EK118" s="39">
        <v>0</v>
      </c>
      <c r="EL118" s="39">
        <v>0.1</v>
      </c>
      <c r="EM118" s="39">
        <v>0.1</v>
      </c>
      <c r="EN118" s="39">
        <v>0</v>
      </c>
      <c r="EO118" s="39">
        <v>0</v>
      </c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>
        <f t="shared" si="31"/>
        <v>0</v>
      </c>
      <c r="FT118" s="39">
        <v>2</v>
      </c>
      <c r="FU118" s="39">
        <v>0</v>
      </c>
      <c r="FV118" s="39">
        <v>0</v>
      </c>
      <c r="FW118" s="39"/>
      <c r="FX118" s="39">
        <v>0</v>
      </c>
      <c r="FY118" s="39"/>
      <c r="FZ118" s="39"/>
      <c r="GA118" s="39"/>
      <c r="GB118" s="39"/>
      <c r="GC118" s="39"/>
      <c r="GD118" s="39"/>
      <c r="GE118" s="39"/>
      <c r="GF118" s="39"/>
      <c r="GG118" s="39"/>
      <c r="GH118" s="39"/>
      <c r="GI118" s="39"/>
      <c r="GJ118" s="39"/>
      <c r="GK118" s="39"/>
      <c r="GL118" s="39"/>
      <c r="GM118" s="39"/>
      <c r="GN118" s="39"/>
      <c r="GO118" s="39"/>
      <c r="GP118" s="39"/>
      <c r="GQ118" s="39"/>
      <c r="GR118" s="39"/>
      <c r="GS118" s="39"/>
      <c r="GT118" s="39"/>
      <c r="GU118" s="39"/>
      <c r="GV118" s="39"/>
      <c r="GW118" s="39"/>
      <c r="GX118" s="39"/>
      <c r="GY118" s="39"/>
      <c r="GZ118" s="39"/>
      <c r="HA118" s="39"/>
      <c r="HB118" s="39"/>
      <c r="HC118" s="39"/>
      <c r="HD118" s="39"/>
      <c r="HE118" s="39"/>
      <c r="HF118" s="39"/>
      <c r="HG118" s="39"/>
      <c r="HH118" s="39"/>
      <c r="HI118" s="39"/>
      <c r="HJ118" s="39"/>
      <c r="HK118" s="39"/>
      <c r="HL118" s="39"/>
      <c r="HM118" s="39"/>
      <c r="HN118" s="39"/>
      <c r="HO118" s="39"/>
      <c r="HP118" s="39"/>
      <c r="HQ118" s="39"/>
      <c r="HR118" s="39"/>
      <c r="HS118" s="39"/>
      <c r="HT118" s="39"/>
      <c r="HU118" s="39"/>
      <c r="HV118" s="39"/>
      <c r="HW118" s="39"/>
      <c r="HX118" s="39"/>
      <c r="HY118" s="39"/>
      <c r="HZ118" s="39"/>
      <c r="IA118" s="39"/>
      <c r="IB118" s="39"/>
      <c r="IC118" s="39"/>
      <c r="ID118" s="39"/>
      <c r="IE118" s="54"/>
      <c r="IF118" s="43">
        <f t="shared" si="47"/>
        <v>0.6</v>
      </c>
      <c r="IG118" s="43">
        <f t="shared" si="48"/>
        <v>0.3</v>
      </c>
      <c r="IH118" s="43">
        <f t="shared" si="49"/>
        <v>0</v>
      </c>
      <c r="II118" s="43">
        <f t="shared" si="50"/>
        <v>0.3</v>
      </c>
      <c r="IJ118" s="43">
        <f t="shared" si="51"/>
        <v>0</v>
      </c>
      <c r="IK118" s="40">
        <f t="shared" si="46"/>
        <v>0</v>
      </c>
      <c r="IL118" s="40">
        <f t="shared" si="37"/>
        <v>0</v>
      </c>
      <c r="IM118" s="40">
        <f t="shared" si="37"/>
        <v>0</v>
      </c>
      <c r="IN118" s="40">
        <f t="shared" si="52"/>
        <v>2.5</v>
      </c>
      <c r="IO118" s="40">
        <f t="shared" si="53"/>
        <v>0</v>
      </c>
      <c r="IP118" s="40">
        <f t="shared" si="54"/>
        <v>0.1</v>
      </c>
      <c r="IQ118" s="40">
        <f t="shared" si="55"/>
        <v>0.1</v>
      </c>
      <c r="IR118" s="40">
        <f t="shared" si="56"/>
        <v>0</v>
      </c>
      <c r="IS118" s="40">
        <f t="shared" si="57"/>
        <v>2.4</v>
      </c>
      <c r="IT118" s="40">
        <f t="shared" si="58"/>
        <v>0</v>
      </c>
      <c r="IU118" s="40">
        <f t="shared" si="45"/>
        <v>0</v>
      </c>
      <c r="IV118" s="39">
        <v>6.5</v>
      </c>
      <c r="IW118" s="44">
        <v>1</v>
      </c>
      <c r="IX118" s="39"/>
    </row>
    <row r="119" spans="1:258" s="55" customFormat="1">
      <c r="A119" s="45">
        <v>114</v>
      </c>
      <c r="B119" s="38" t="s">
        <v>198</v>
      </c>
      <c r="C119" s="38" t="s">
        <v>170</v>
      </c>
      <c r="D119" s="38" t="s">
        <v>196</v>
      </c>
      <c r="E119" s="39">
        <v>108</v>
      </c>
      <c r="F119" s="40"/>
      <c r="G119" s="40">
        <v>100</v>
      </c>
      <c r="H119" s="40"/>
      <c r="I119" s="40">
        <v>100</v>
      </c>
      <c r="J119" s="40">
        <v>0</v>
      </c>
      <c r="K119" s="40"/>
      <c r="L119" s="40"/>
      <c r="M119" s="40"/>
      <c r="N119" s="40"/>
      <c r="O119" s="39"/>
      <c r="P119" s="39">
        <v>0</v>
      </c>
      <c r="Q119" s="39">
        <v>100</v>
      </c>
      <c r="R119" s="43"/>
      <c r="S119" s="43"/>
      <c r="T119" s="43"/>
      <c r="U119" s="43"/>
      <c r="V119" s="40">
        <v>0</v>
      </c>
      <c r="W119" s="40">
        <v>0</v>
      </c>
      <c r="X119" s="40">
        <v>0</v>
      </c>
      <c r="Y119" s="41">
        <v>0</v>
      </c>
      <c r="Z119" s="41"/>
      <c r="AA119" s="41"/>
      <c r="AB119" s="41"/>
      <c r="AC119" s="41"/>
      <c r="AD119" s="39">
        <v>0</v>
      </c>
      <c r="AE119" s="39">
        <v>0</v>
      </c>
      <c r="AF119" s="39">
        <v>0</v>
      </c>
      <c r="AG119" s="43"/>
      <c r="AH119" s="43"/>
      <c r="AI119" s="43"/>
      <c r="AJ119" s="43"/>
      <c r="AK119" s="40">
        <v>300</v>
      </c>
      <c r="AL119" s="40">
        <v>0</v>
      </c>
      <c r="AM119" s="40">
        <v>100</v>
      </c>
      <c r="AN119" s="40">
        <v>0</v>
      </c>
      <c r="AO119" s="40">
        <v>100</v>
      </c>
      <c r="AP119" s="40">
        <v>100</v>
      </c>
      <c r="AQ119" s="40"/>
      <c r="AR119" s="40"/>
      <c r="AS119" s="39"/>
      <c r="AT119" s="39">
        <v>100</v>
      </c>
      <c r="AU119" s="39">
        <v>0</v>
      </c>
      <c r="AV119" s="43"/>
      <c r="AW119" s="43">
        <v>200</v>
      </c>
      <c r="AX119" s="43"/>
      <c r="AY119" s="43"/>
      <c r="AZ119" s="40">
        <v>40</v>
      </c>
      <c r="BA119" s="40"/>
      <c r="BB119" s="40">
        <v>40</v>
      </c>
      <c r="BC119" s="40">
        <v>0</v>
      </c>
      <c r="BD119" s="40"/>
      <c r="BE119" s="40"/>
      <c r="BF119" s="40"/>
      <c r="BG119" s="40"/>
      <c r="BH119" s="40"/>
      <c r="BI119" s="40">
        <v>40</v>
      </c>
      <c r="BJ119" s="40">
        <v>0</v>
      </c>
      <c r="BK119" s="39">
        <v>0</v>
      </c>
      <c r="BL119" s="39">
        <v>0</v>
      </c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>
        <v>10</v>
      </c>
      <c r="CR119" s="39">
        <v>2</v>
      </c>
      <c r="CS119" s="39">
        <v>0</v>
      </c>
      <c r="CT119" s="39">
        <v>8</v>
      </c>
      <c r="CU119" s="39">
        <v>0</v>
      </c>
      <c r="CV119" s="39">
        <v>0</v>
      </c>
      <c r="CW119" s="39"/>
      <c r="CX119" s="39"/>
      <c r="CY119" s="39"/>
      <c r="CZ119" s="39">
        <v>800</v>
      </c>
      <c r="DA119" s="39">
        <v>0</v>
      </c>
      <c r="DB119" s="39">
        <v>0</v>
      </c>
      <c r="DC119" s="39">
        <v>800</v>
      </c>
      <c r="DD119" s="39">
        <v>0</v>
      </c>
      <c r="DE119" s="39">
        <v>0</v>
      </c>
      <c r="DF119" s="39"/>
      <c r="DG119" s="39"/>
      <c r="DH119" s="39"/>
      <c r="DI119" s="39">
        <v>1</v>
      </c>
      <c r="DJ119" s="39">
        <v>6</v>
      </c>
      <c r="DK119" s="39">
        <v>6</v>
      </c>
      <c r="DL119" s="39">
        <v>0</v>
      </c>
      <c r="DM119" s="39">
        <v>0</v>
      </c>
      <c r="DN119" s="39">
        <v>0</v>
      </c>
      <c r="DO119" s="39">
        <v>0</v>
      </c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>
        <v>0.5</v>
      </c>
      <c r="EK119" s="39">
        <v>0</v>
      </c>
      <c r="EL119" s="39">
        <v>0.3</v>
      </c>
      <c r="EM119" s="39">
        <v>0.1</v>
      </c>
      <c r="EN119" s="39">
        <v>0</v>
      </c>
      <c r="EO119" s="39">
        <v>0.1</v>
      </c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>
        <v>500</v>
      </c>
      <c r="FL119" s="39">
        <v>100</v>
      </c>
      <c r="FM119" s="39">
        <v>0</v>
      </c>
      <c r="FN119" s="39">
        <v>0</v>
      </c>
      <c r="FO119" s="39"/>
      <c r="FP119" s="39">
        <v>400</v>
      </c>
      <c r="FQ119" s="39"/>
      <c r="FR119" s="39"/>
      <c r="FS119" s="39">
        <f t="shared" si="31"/>
        <v>0</v>
      </c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>
        <v>1</v>
      </c>
      <c r="HD119" s="39">
        <v>0</v>
      </c>
      <c r="HE119" s="39">
        <v>0</v>
      </c>
      <c r="HF119" s="39">
        <v>1</v>
      </c>
      <c r="HG119" s="39"/>
      <c r="HH119" s="39">
        <v>0</v>
      </c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54"/>
      <c r="IF119" s="43">
        <f t="shared" si="47"/>
        <v>0</v>
      </c>
      <c r="IG119" s="43">
        <f t="shared" si="48"/>
        <v>0</v>
      </c>
      <c r="IH119" s="43">
        <f t="shared" si="49"/>
        <v>0</v>
      </c>
      <c r="II119" s="43">
        <f t="shared" si="50"/>
        <v>0</v>
      </c>
      <c r="IJ119" s="43">
        <f t="shared" si="51"/>
        <v>0</v>
      </c>
      <c r="IK119" s="40">
        <f t="shared" si="46"/>
        <v>0</v>
      </c>
      <c r="IL119" s="40">
        <f t="shared" si="37"/>
        <v>0</v>
      </c>
      <c r="IM119" s="40">
        <f t="shared" si="37"/>
        <v>0</v>
      </c>
      <c r="IN119" s="40">
        <f t="shared" si="52"/>
        <v>10.5</v>
      </c>
      <c r="IO119" s="40">
        <f t="shared" si="53"/>
        <v>2</v>
      </c>
      <c r="IP119" s="40">
        <f t="shared" si="54"/>
        <v>0.3</v>
      </c>
      <c r="IQ119" s="40">
        <f t="shared" si="55"/>
        <v>8.1</v>
      </c>
      <c r="IR119" s="40">
        <f t="shared" si="56"/>
        <v>0</v>
      </c>
      <c r="IS119" s="40">
        <f t="shared" si="57"/>
        <v>0.1</v>
      </c>
      <c r="IT119" s="40">
        <f t="shared" si="58"/>
        <v>0</v>
      </c>
      <c r="IU119" s="40">
        <f t="shared" si="45"/>
        <v>0</v>
      </c>
      <c r="IV119" s="39">
        <v>40.299999999999997</v>
      </c>
      <c r="IW119" s="44">
        <v>1</v>
      </c>
      <c r="IX119" s="39"/>
    </row>
    <row r="120" spans="1:258" s="55" customFormat="1">
      <c r="A120" s="37">
        <v>115</v>
      </c>
      <c r="B120" s="38" t="s">
        <v>199</v>
      </c>
      <c r="C120" s="38" t="s">
        <v>170</v>
      </c>
      <c r="D120" s="38" t="s">
        <v>196</v>
      </c>
      <c r="E120" s="39">
        <v>6.6</v>
      </c>
      <c r="F120" s="40"/>
      <c r="G120" s="40">
        <v>20</v>
      </c>
      <c r="H120" s="40"/>
      <c r="I120" s="40">
        <v>20</v>
      </c>
      <c r="J120" s="40">
        <v>0</v>
      </c>
      <c r="K120" s="40"/>
      <c r="L120" s="40"/>
      <c r="M120" s="40"/>
      <c r="N120" s="40"/>
      <c r="O120" s="39"/>
      <c r="P120" s="39">
        <v>20</v>
      </c>
      <c r="Q120" s="39">
        <v>0</v>
      </c>
      <c r="R120" s="43"/>
      <c r="S120" s="43"/>
      <c r="T120" s="43"/>
      <c r="U120" s="43"/>
      <c r="V120" s="40">
        <v>0</v>
      </c>
      <c r="W120" s="40">
        <v>0</v>
      </c>
      <c r="X120" s="40">
        <v>0</v>
      </c>
      <c r="Y120" s="41">
        <v>0</v>
      </c>
      <c r="Z120" s="41"/>
      <c r="AA120" s="41"/>
      <c r="AB120" s="41"/>
      <c r="AC120" s="41"/>
      <c r="AD120" s="39">
        <v>0</v>
      </c>
      <c r="AE120" s="39">
        <v>0</v>
      </c>
      <c r="AF120" s="39">
        <v>0</v>
      </c>
      <c r="AG120" s="43"/>
      <c r="AH120" s="43"/>
      <c r="AI120" s="43"/>
      <c r="AJ120" s="43"/>
      <c r="AK120" s="40">
        <v>164</v>
      </c>
      <c r="AL120" s="40"/>
      <c r="AM120" s="40">
        <v>132</v>
      </c>
      <c r="AN120" s="40">
        <v>0</v>
      </c>
      <c r="AO120" s="40">
        <v>0</v>
      </c>
      <c r="AP120" s="40">
        <v>32</v>
      </c>
      <c r="AQ120" s="40"/>
      <c r="AR120" s="40"/>
      <c r="AS120" s="39"/>
      <c r="AT120" s="39">
        <v>132</v>
      </c>
      <c r="AU120" s="39">
        <v>0</v>
      </c>
      <c r="AV120" s="43"/>
      <c r="AW120" s="43">
        <v>32</v>
      </c>
      <c r="AX120" s="43"/>
      <c r="AY120" s="43"/>
      <c r="AZ120" s="40">
        <v>40</v>
      </c>
      <c r="BA120" s="40"/>
      <c r="BB120" s="40">
        <v>40</v>
      </c>
      <c r="BC120" s="40">
        <v>0</v>
      </c>
      <c r="BD120" s="40"/>
      <c r="BE120" s="40"/>
      <c r="BF120" s="40"/>
      <c r="BG120" s="40"/>
      <c r="BH120" s="40"/>
      <c r="BI120" s="40">
        <v>40</v>
      </c>
      <c r="BJ120" s="40">
        <v>0</v>
      </c>
      <c r="BK120" s="39">
        <v>0</v>
      </c>
      <c r="BL120" s="39">
        <v>0</v>
      </c>
      <c r="BM120" s="39"/>
      <c r="BN120" s="39"/>
      <c r="BO120" s="39">
        <v>1</v>
      </c>
      <c r="BP120" s="39">
        <v>1</v>
      </c>
      <c r="BQ120" s="39">
        <v>0</v>
      </c>
      <c r="BR120" s="39">
        <v>0</v>
      </c>
      <c r="BS120" s="39"/>
      <c r="BT120" s="39"/>
      <c r="BU120" s="39"/>
      <c r="BV120" s="39"/>
      <c r="BW120" s="39"/>
      <c r="BX120" s="39">
        <v>0.1</v>
      </c>
      <c r="BY120" s="39">
        <v>0.1</v>
      </c>
      <c r="BZ120" s="39">
        <v>0</v>
      </c>
      <c r="CA120" s="39">
        <v>0</v>
      </c>
      <c r="CB120" s="39">
        <v>0</v>
      </c>
      <c r="CC120" s="39">
        <v>0</v>
      </c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>
        <v>1.4</v>
      </c>
      <c r="CR120" s="39">
        <v>0</v>
      </c>
      <c r="CS120" s="39">
        <v>1</v>
      </c>
      <c r="CT120" s="39">
        <v>0.4</v>
      </c>
      <c r="CU120" s="39">
        <v>0</v>
      </c>
      <c r="CV120" s="39">
        <v>0</v>
      </c>
      <c r="CW120" s="39"/>
      <c r="CX120" s="39"/>
      <c r="CY120" s="39"/>
      <c r="CZ120" s="39">
        <v>500</v>
      </c>
      <c r="DA120" s="39">
        <v>0</v>
      </c>
      <c r="DB120" s="39">
        <v>400</v>
      </c>
      <c r="DC120" s="39">
        <v>100</v>
      </c>
      <c r="DD120" s="39">
        <v>0</v>
      </c>
      <c r="DE120" s="39">
        <v>0</v>
      </c>
      <c r="DF120" s="39"/>
      <c r="DG120" s="39"/>
      <c r="DH120" s="39"/>
      <c r="DI120" s="39">
        <v>1</v>
      </c>
      <c r="DJ120" s="39">
        <v>3</v>
      </c>
      <c r="DK120" s="39">
        <v>3</v>
      </c>
      <c r="DL120" s="39">
        <v>0</v>
      </c>
      <c r="DM120" s="39">
        <v>0</v>
      </c>
      <c r="DN120" s="39">
        <v>0</v>
      </c>
      <c r="DO120" s="39">
        <v>0</v>
      </c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>
        <v>0.2</v>
      </c>
      <c r="EK120" s="39">
        <v>0</v>
      </c>
      <c r="EL120" s="39">
        <v>0.2</v>
      </c>
      <c r="EM120" s="39">
        <v>0</v>
      </c>
      <c r="EN120" s="39">
        <v>0</v>
      </c>
      <c r="EO120" s="39">
        <v>0</v>
      </c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>
        <v>200</v>
      </c>
      <c r="FL120" s="39">
        <v>200</v>
      </c>
      <c r="FM120" s="39">
        <v>0</v>
      </c>
      <c r="FN120" s="39">
        <v>0</v>
      </c>
      <c r="FO120" s="39"/>
      <c r="FP120" s="39">
        <v>0</v>
      </c>
      <c r="FQ120" s="39"/>
      <c r="FR120" s="39"/>
      <c r="FS120" s="39">
        <f t="shared" si="31"/>
        <v>0</v>
      </c>
      <c r="FT120" s="39"/>
      <c r="FU120" s="39"/>
      <c r="FV120" s="39"/>
      <c r="FW120" s="39"/>
      <c r="FX120" s="39"/>
      <c r="FY120" s="39"/>
      <c r="FZ120" s="39"/>
      <c r="GA120" s="39"/>
      <c r="GB120" s="39"/>
      <c r="GC120" s="39"/>
      <c r="GD120" s="39"/>
      <c r="GE120" s="39"/>
      <c r="GF120" s="39"/>
      <c r="GG120" s="39"/>
      <c r="GH120" s="39"/>
      <c r="GI120" s="39"/>
      <c r="GJ120" s="39"/>
      <c r="GK120" s="39"/>
      <c r="GL120" s="39"/>
      <c r="GM120" s="39"/>
      <c r="GN120" s="39"/>
      <c r="GO120" s="39"/>
      <c r="GP120" s="39"/>
      <c r="GQ120" s="39"/>
      <c r="GR120" s="39"/>
      <c r="GS120" s="39"/>
      <c r="GT120" s="39"/>
      <c r="GU120" s="39"/>
      <c r="GV120" s="39"/>
      <c r="GW120" s="39"/>
      <c r="GX120" s="39"/>
      <c r="GY120" s="39"/>
      <c r="GZ120" s="39"/>
      <c r="HA120" s="39"/>
      <c r="HB120" s="39"/>
      <c r="HC120" s="39"/>
      <c r="HD120" s="39"/>
      <c r="HE120" s="39"/>
      <c r="HF120" s="39"/>
      <c r="HG120" s="39"/>
      <c r="HH120" s="39"/>
      <c r="HI120" s="39"/>
      <c r="HJ120" s="39"/>
      <c r="HK120" s="39"/>
      <c r="HL120" s="39"/>
      <c r="HM120" s="39"/>
      <c r="HN120" s="39"/>
      <c r="HO120" s="39"/>
      <c r="HP120" s="39"/>
      <c r="HQ120" s="39"/>
      <c r="HR120" s="39"/>
      <c r="HS120" s="39"/>
      <c r="HT120" s="39"/>
      <c r="HU120" s="39"/>
      <c r="HV120" s="39"/>
      <c r="HW120" s="39"/>
      <c r="HX120" s="39"/>
      <c r="HY120" s="39"/>
      <c r="HZ120" s="39"/>
      <c r="IA120" s="39"/>
      <c r="IB120" s="39"/>
      <c r="IC120" s="39"/>
      <c r="ID120" s="39"/>
      <c r="IE120" s="54"/>
      <c r="IF120" s="43">
        <f t="shared" si="47"/>
        <v>0.1</v>
      </c>
      <c r="IG120" s="43">
        <f t="shared" si="48"/>
        <v>0.1</v>
      </c>
      <c r="IH120" s="43">
        <f t="shared" si="49"/>
        <v>0</v>
      </c>
      <c r="II120" s="43">
        <f t="shared" si="50"/>
        <v>0</v>
      </c>
      <c r="IJ120" s="43">
        <f t="shared" si="51"/>
        <v>0</v>
      </c>
      <c r="IK120" s="40">
        <f t="shared" si="46"/>
        <v>0</v>
      </c>
      <c r="IL120" s="40">
        <f t="shared" si="37"/>
        <v>0</v>
      </c>
      <c r="IM120" s="40">
        <f t="shared" si="37"/>
        <v>0</v>
      </c>
      <c r="IN120" s="40">
        <f t="shared" si="52"/>
        <v>1.5999999999999999</v>
      </c>
      <c r="IO120" s="40">
        <f t="shared" si="53"/>
        <v>0</v>
      </c>
      <c r="IP120" s="40">
        <f t="shared" si="54"/>
        <v>1.2</v>
      </c>
      <c r="IQ120" s="40">
        <f t="shared" si="55"/>
        <v>0.4</v>
      </c>
      <c r="IR120" s="40">
        <f t="shared" si="56"/>
        <v>0</v>
      </c>
      <c r="IS120" s="40">
        <f t="shared" si="57"/>
        <v>0</v>
      </c>
      <c r="IT120" s="40">
        <f t="shared" si="58"/>
        <v>0</v>
      </c>
      <c r="IU120" s="40">
        <f t="shared" si="45"/>
        <v>0</v>
      </c>
      <c r="IV120" s="39">
        <v>0.6</v>
      </c>
      <c r="IW120" s="44">
        <v>1</v>
      </c>
      <c r="IX120" s="39"/>
    </row>
    <row r="121" spans="1:258" s="55" customFormat="1">
      <c r="A121" s="37">
        <v>116</v>
      </c>
      <c r="B121" s="38" t="s">
        <v>200</v>
      </c>
      <c r="C121" s="38" t="s">
        <v>170</v>
      </c>
      <c r="D121" s="38" t="s">
        <v>196</v>
      </c>
      <c r="E121" s="39">
        <v>181.9</v>
      </c>
      <c r="F121" s="40"/>
      <c r="G121" s="40">
        <v>600</v>
      </c>
      <c r="H121" s="40"/>
      <c r="I121" s="40">
        <v>600</v>
      </c>
      <c r="J121" s="40">
        <v>0</v>
      </c>
      <c r="K121" s="40"/>
      <c r="L121" s="40"/>
      <c r="M121" s="40"/>
      <c r="N121" s="40"/>
      <c r="O121" s="39"/>
      <c r="P121" s="39">
        <v>600</v>
      </c>
      <c r="Q121" s="39">
        <v>0</v>
      </c>
      <c r="R121" s="43"/>
      <c r="S121" s="43"/>
      <c r="T121" s="43"/>
      <c r="U121" s="43"/>
      <c r="V121" s="40">
        <v>0</v>
      </c>
      <c r="W121" s="40">
        <v>0</v>
      </c>
      <c r="X121" s="40">
        <v>0</v>
      </c>
      <c r="Y121" s="41">
        <v>0</v>
      </c>
      <c r="Z121" s="41"/>
      <c r="AA121" s="41"/>
      <c r="AB121" s="41"/>
      <c r="AC121" s="41"/>
      <c r="AD121" s="39">
        <v>0</v>
      </c>
      <c r="AE121" s="39">
        <v>0</v>
      </c>
      <c r="AF121" s="39">
        <v>0</v>
      </c>
      <c r="AG121" s="43"/>
      <c r="AH121" s="43"/>
      <c r="AI121" s="43"/>
      <c r="AJ121" s="43"/>
      <c r="AK121" s="40">
        <v>932</v>
      </c>
      <c r="AL121" s="40"/>
      <c r="AM121" s="40">
        <v>172</v>
      </c>
      <c r="AN121" s="40">
        <v>0</v>
      </c>
      <c r="AO121" s="40">
        <v>100</v>
      </c>
      <c r="AP121" s="40">
        <v>660</v>
      </c>
      <c r="AQ121" s="40"/>
      <c r="AR121" s="40"/>
      <c r="AS121" s="39"/>
      <c r="AT121" s="39">
        <v>0</v>
      </c>
      <c r="AU121" s="39">
        <v>100</v>
      </c>
      <c r="AV121" s="43"/>
      <c r="AW121" s="43">
        <v>832</v>
      </c>
      <c r="AX121" s="43"/>
      <c r="AY121" s="43"/>
      <c r="AZ121" s="40">
        <v>0</v>
      </c>
      <c r="BA121" s="40"/>
      <c r="BB121" s="40">
        <v>0</v>
      </c>
      <c r="BC121" s="40">
        <v>0</v>
      </c>
      <c r="BD121" s="40"/>
      <c r="BE121" s="40"/>
      <c r="BF121" s="40"/>
      <c r="BG121" s="40"/>
      <c r="BH121" s="40"/>
      <c r="BI121" s="40">
        <v>0</v>
      </c>
      <c r="BJ121" s="40">
        <v>0</v>
      </c>
      <c r="BK121" s="39">
        <v>0</v>
      </c>
      <c r="BL121" s="39">
        <v>0</v>
      </c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>
        <v>1.3</v>
      </c>
      <c r="CH121" s="39">
        <v>0</v>
      </c>
      <c r="CI121" s="39">
        <v>0</v>
      </c>
      <c r="CJ121" s="39">
        <v>0.5</v>
      </c>
      <c r="CK121" s="39">
        <v>0</v>
      </c>
      <c r="CL121" s="39">
        <v>0.8</v>
      </c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>
        <v>3.4</v>
      </c>
      <c r="EK121" s="39">
        <v>0</v>
      </c>
      <c r="EL121" s="39">
        <v>1</v>
      </c>
      <c r="EM121" s="39">
        <v>1.5</v>
      </c>
      <c r="EN121" s="39">
        <v>0</v>
      </c>
      <c r="EO121" s="39">
        <v>0.9</v>
      </c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>
        <f t="shared" si="31"/>
        <v>0</v>
      </c>
      <c r="FT121" s="39"/>
      <c r="FU121" s="39"/>
      <c r="FV121" s="39"/>
      <c r="FW121" s="39"/>
      <c r="FX121" s="39"/>
      <c r="FY121" s="39"/>
      <c r="FZ121" s="39"/>
      <c r="GA121" s="39"/>
      <c r="GB121" s="39"/>
      <c r="GC121" s="39"/>
      <c r="GD121" s="39"/>
      <c r="GE121" s="39"/>
      <c r="GF121" s="39"/>
      <c r="GG121" s="39"/>
      <c r="GH121" s="39"/>
      <c r="GI121" s="39"/>
      <c r="GJ121" s="39"/>
      <c r="GK121" s="39"/>
      <c r="GL121" s="39"/>
      <c r="GM121" s="39"/>
      <c r="GN121" s="39"/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/>
      <c r="HC121" s="39"/>
      <c r="HD121" s="39"/>
      <c r="HE121" s="39"/>
      <c r="HF121" s="39"/>
      <c r="HG121" s="39"/>
      <c r="HH121" s="39"/>
      <c r="HI121" s="39"/>
      <c r="HJ121" s="39"/>
      <c r="HK121" s="39"/>
      <c r="HL121" s="39"/>
      <c r="HM121" s="39"/>
      <c r="HN121" s="39"/>
      <c r="HO121" s="39"/>
      <c r="HP121" s="39"/>
      <c r="HQ121" s="39"/>
      <c r="HR121" s="39"/>
      <c r="HS121" s="39"/>
      <c r="HT121" s="39"/>
      <c r="HU121" s="39"/>
      <c r="HV121" s="39"/>
      <c r="HW121" s="39"/>
      <c r="HX121" s="39"/>
      <c r="HY121" s="39"/>
      <c r="HZ121" s="39"/>
      <c r="IA121" s="39"/>
      <c r="IB121" s="39"/>
      <c r="IC121" s="39"/>
      <c r="ID121" s="39"/>
      <c r="IE121" s="54"/>
      <c r="IF121" s="43">
        <f t="shared" si="47"/>
        <v>1.3</v>
      </c>
      <c r="IG121" s="43">
        <f t="shared" si="48"/>
        <v>0</v>
      </c>
      <c r="IH121" s="43">
        <f t="shared" si="49"/>
        <v>0</v>
      </c>
      <c r="II121" s="43">
        <f t="shared" si="50"/>
        <v>0.5</v>
      </c>
      <c r="IJ121" s="43">
        <f t="shared" si="51"/>
        <v>0</v>
      </c>
      <c r="IK121" s="40">
        <f t="shared" si="46"/>
        <v>0.8</v>
      </c>
      <c r="IL121" s="40">
        <f t="shared" si="37"/>
        <v>0</v>
      </c>
      <c r="IM121" s="40">
        <f t="shared" si="37"/>
        <v>0</v>
      </c>
      <c r="IN121" s="40">
        <f t="shared" si="52"/>
        <v>3.4</v>
      </c>
      <c r="IO121" s="40">
        <f t="shared" si="53"/>
        <v>0</v>
      </c>
      <c r="IP121" s="40">
        <f t="shared" si="54"/>
        <v>1</v>
      </c>
      <c r="IQ121" s="40">
        <f t="shared" si="55"/>
        <v>1.5</v>
      </c>
      <c r="IR121" s="40">
        <f t="shared" si="56"/>
        <v>0</v>
      </c>
      <c r="IS121" s="40">
        <f t="shared" si="57"/>
        <v>0.9</v>
      </c>
      <c r="IT121" s="40">
        <f t="shared" si="58"/>
        <v>0</v>
      </c>
      <c r="IU121" s="40">
        <f t="shared" si="45"/>
        <v>0</v>
      </c>
      <c r="IV121" s="39">
        <v>54</v>
      </c>
      <c r="IW121" s="44">
        <v>1</v>
      </c>
      <c r="IX121" s="39"/>
    </row>
    <row r="122" spans="1:258" s="55" customFormat="1">
      <c r="A122" s="37">
        <v>117</v>
      </c>
      <c r="B122" s="38" t="s">
        <v>201</v>
      </c>
      <c r="C122" s="38" t="s">
        <v>170</v>
      </c>
      <c r="D122" s="38" t="s">
        <v>173</v>
      </c>
      <c r="E122" s="39">
        <v>18</v>
      </c>
      <c r="F122" s="40"/>
      <c r="G122" s="40">
        <v>80</v>
      </c>
      <c r="H122" s="40"/>
      <c r="I122" s="40">
        <v>80</v>
      </c>
      <c r="J122" s="40">
        <v>0</v>
      </c>
      <c r="K122" s="40"/>
      <c r="L122" s="40"/>
      <c r="M122" s="40"/>
      <c r="N122" s="40"/>
      <c r="O122" s="39"/>
      <c r="P122" s="39">
        <v>80</v>
      </c>
      <c r="Q122" s="39">
        <v>0</v>
      </c>
      <c r="R122" s="43"/>
      <c r="S122" s="43"/>
      <c r="T122" s="43"/>
      <c r="U122" s="43"/>
      <c r="V122" s="40">
        <v>0</v>
      </c>
      <c r="W122" s="40">
        <v>0</v>
      </c>
      <c r="X122" s="40">
        <v>0</v>
      </c>
      <c r="Y122" s="41">
        <v>0</v>
      </c>
      <c r="Z122" s="41"/>
      <c r="AA122" s="41"/>
      <c r="AB122" s="41"/>
      <c r="AC122" s="41"/>
      <c r="AD122" s="39">
        <v>0</v>
      </c>
      <c r="AE122" s="39">
        <v>0</v>
      </c>
      <c r="AF122" s="39">
        <v>0</v>
      </c>
      <c r="AG122" s="43"/>
      <c r="AH122" s="43"/>
      <c r="AI122" s="43"/>
      <c r="AJ122" s="43"/>
      <c r="AK122" s="40">
        <v>1060</v>
      </c>
      <c r="AL122" s="40"/>
      <c r="AM122" s="40">
        <v>670</v>
      </c>
      <c r="AN122" s="40">
        <v>0</v>
      </c>
      <c r="AO122" s="40">
        <v>20</v>
      </c>
      <c r="AP122" s="40">
        <v>370</v>
      </c>
      <c r="AQ122" s="40"/>
      <c r="AR122" s="40"/>
      <c r="AS122" s="39"/>
      <c r="AT122" s="39">
        <v>0</v>
      </c>
      <c r="AU122" s="39">
        <v>350</v>
      </c>
      <c r="AV122" s="43"/>
      <c r="AW122" s="43">
        <v>710</v>
      </c>
      <c r="AX122" s="43"/>
      <c r="AY122" s="43"/>
      <c r="AZ122" s="40">
        <v>0</v>
      </c>
      <c r="BA122" s="40"/>
      <c r="BB122" s="40">
        <v>0</v>
      </c>
      <c r="BC122" s="40">
        <v>0</v>
      </c>
      <c r="BD122" s="40"/>
      <c r="BE122" s="40"/>
      <c r="BF122" s="40"/>
      <c r="BG122" s="40"/>
      <c r="BH122" s="40"/>
      <c r="BI122" s="40">
        <v>0</v>
      </c>
      <c r="BJ122" s="40">
        <v>0</v>
      </c>
      <c r="BK122" s="39">
        <v>0</v>
      </c>
      <c r="BL122" s="39">
        <v>0</v>
      </c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>
        <v>3</v>
      </c>
      <c r="CR122" s="39"/>
      <c r="CS122" s="39">
        <v>0</v>
      </c>
      <c r="CT122" s="39">
        <v>1</v>
      </c>
      <c r="CU122" s="39">
        <v>0</v>
      </c>
      <c r="CV122" s="39">
        <v>2</v>
      </c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>
        <v>1</v>
      </c>
      <c r="DJ122" s="39">
        <v>4</v>
      </c>
      <c r="DK122" s="39"/>
      <c r="DL122" s="39">
        <v>0</v>
      </c>
      <c r="DM122" s="39">
        <v>0</v>
      </c>
      <c r="DN122" s="39">
        <v>0</v>
      </c>
      <c r="DO122" s="39">
        <v>4</v>
      </c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>
        <v>0.75</v>
      </c>
      <c r="EK122" s="39">
        <v>0</v>
      </c>
      <c r="EL122" s="39">
        <v>0.3</v>
      </c>
      <c r="EM122" s="39">
        <v>0.1</v>
      </c>
      <c r="EN122" s="39">
        <v>0</v>
      </c>
      <c r="EO122" s="39">
        <v>0.35</v>
      </c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>
        <f t="shared" si="31"/>
        <v>0</v>
      </c>
      <c r="FT122" s="39"/>
      <c r="FU122" s="39"/>
      <c r="FV122" s="39"/>
      <c r="FW122" s="39"/>
      <c r="FX122" s="39"/>
      <c r="FY122" s="39"/>
      <c r="FZ122" s="39"/>
      <c r="GA122" s="39"/>
      <c r="GB122" s="39"/>
      <c r="GC122" s="39"/>
      <c r="GD122" s="39"/>
      <c r="GE122" s="39"/>
      <c r="GF122" s="39"/>
      <c r="GG122" s="39"/>
      <c r="GH122" s="39"/>
      <c r="GI122" s="39"/>
      <c r="GJ122" s="39"/>
      <c r="GK122" s="39"/>
      <c r="GL122" s="39"/>
      <c r="GM122" s="39"/>
      <c r="GN122" s="39"/>
      <c r="GO122" s="39"/>
      <c r="GP122" s="39"/>
      <c r="GQ122" s="39"/>
      <c r="GR122" s="39"/>
      <c r="GS122" s="39"/>
      <c r="GT122" s="39"/>
      <c r="GU122" s="39"/>
      <c r="GV122" s="39"/>
      <c r="GW122" s="39"/>
      <c r="GX122" s="39"/>
      <c r="GY122" s="39"/>
      <c r="GZ122" s="39"/>
      <c r="HA122" s="39"/>
      <c r="HB122" s="39"/>
      <c r="HC122" s="39"/>
      <c r="HD122" s="39"/>
      <c r="HE122" s="39"/>
      <c r="HF122" s="39"/>
      <c r="HG122" s="39"/>
      <c r="HH122" s="39"/>
      <c r="HI122" s="39"/>
      <c r="HJ122" s="39"/>
      <c r="HK122" s="39"/>
      <c r="HL122" s="39"/>
      <c r="HM122" s="39"/>
      <c r="HN122" s="39"/>
      <c r="HO122" s="39"/>
      <c r="HP122" s="39"/>
      <c r="HQ122" s="39"/>
      <c r="HR122" s="39"/>
      <c r="HS122" s="39"/>
      <c r="HT122" s="39"/>
      <c r="HU122" s="39"/>
      <c r="HV122" s="39"/>
      <c r="HW122" s="39"/>
      <c r="HX122" s="39"/>
      <c r="HY122" s="39"/>
      <c r="HZ122" s="39"/>
      <c r="IA122" s="39"/>
      <c r="IB122" s="39"/>
      <c r="IC122" s="39"/>
      <c r="ID122" s="39"/>
      <c r="IE122" s="54"/>
      <c r="IF122" s="43">
        <f t="shared" si="47"/>
        <v>0</v>
      </c>
      <c r="IG122" s="43">
        <f t="shared" si="48"/>
        <v>0</v>
      </c>
      <c r="IH122" s="43">
        <f t="shared" si="49"/>
        <v>0</v>
      </c>
      <c r="II122" s="43">
        <f t="shared" si="50"/>
        <v>0</v>
      </c>
      <c r="IJ122" s="43">
        <f t="shared" si="51"/>
        <v>0</v>
      </c>
      <c r="IK122" s="40">
        <f t="shared" si="46"/>
        <v>0</v>
      </c>
      <c r="IL122" s="40">
        <f t="shared" si="37"/>
        <v>0</v>
      </c>
      <c r="IM122" s="40">
        <f t="shared" si="37"/>
        <v>0</v>
      </c>
      <c r="IN122" s="40">
        <f t="shared" si="52"/>
        <v>3.75</v>
      </c>
      <c r="IO122" s="40">
        <f t="shared" si="53"/>
        <v>0</v>
      </c>
      <c r="IP122" s="40">
        <f t="shared" si="54"/>
        <v>0.3</v>
      </c>
      <c r="IQ122" s="40">
        <f t="shared" si="55"/>
        <v>1.1000000000000001</v>
      </c>
      <c r="IR122" s="40">
        <f t="shared" si="56"/>
        <v>0</v>
      </c>
      <c r="IS122" s="40">
        <f t="shared" si="57"/>
        <v>2.35</v>
      </c>
      <c r="IT122" s="40">
        <f t="shared" si="58"/>
        <v>0</v>
      </c>
      <c r="IU122" s="40">
        <f t="shared" si="45"/>
        <v>0</v>
      </c>
      <c r="IV122" s="39">
        <v>10</v>
      </c>
      <c r="IW122" s="44">
        <v>1</v>
      </c>
      <c r="IX122" s="39"/>
    </row>
    <row r="123" spans="1:258" s="55" customFormat="1">
      <c r="A123" s="37">
        <v>118</v>
      </c>
      <c r="B123" s="38" t="s">
        <v>202</v>
      </c>
      <c r="C123" s="38" t="s">
        <v>170</v>
      </c>
      <c r="D123" s="38" t="s">
        <v>196</v>
      </c>
      <c r="E123" s="39">
        <v>14.4</v>
      </c>
      <c r="F123" s="40"/>
      <c r="G123" s="40">
        <v>100</v>
      </c>
      <c r="H123" s="40"/>
      <c r="I123" s="40">
        <v>100</v>
      </c>
      <c r="J123" s="40">
        <v>0</v>
      </c>
      <c r="K123" s="40"/>
      <c r="L123" s="40"/>
      <c r="M123" s="40"/>
      <c r="N123" s="40"/>
      <c r="O123" s="39"/>
      <c r="P123" s="39">
        <v>0</v>
      </c>
      <c r="Q123" s="39">
        <v>100</v>
      </c>
      <c r="R123" s="43"/>
      <c r="S123" s="43"/>
      <c r="T123" s="43"/>
      <c r="U123" s="43"/>
      <c r="V123" s="40">
        <v>0</v>
      </c>
      <c r="W123" s="40">
        <v>0</v>
      </c>
      <c r="X123" s="40">
        <v>0</v>
      </c>
      <c r="Y123" s="41">
        <v>0</v>
      </c>
      <c r="Z123" s="41"/>
      <c r="AA123" s="41"/>
      <c r="AB123" s="41"/>
      <c r="AC123" s="41"/>
      <c r="AD123" s="39">
        <v>0</v>
      </c>
      <c r="AE123" s="39">
        <v>0</v>
      </c>
      <c r="AF123" s="39">
        <v>0</v>
      </c>
      <c r="AG123" s="43"/>
      <c r="AH123" s="43"/>
      <c r="AI123" s="43"/>
      <c r="AJ123" s="43"/>
      <c r="AK123" s="40">
        <v>395</v>
      </c>
      <c r="AL123" s="40"/>
      <c r="AM123" s="40">
        <v>110</v>
      </c>
      <c r="AN123" s="40">
        <v>0</v>
      </c>
      <c r="AO123" s="40">
        <v>20</v>
      </c>
      <c r="AP123" s="40">
        <v>265</v>
      </c>
      <c r="AQ123" s="40"/>
      <c r="AR123" s="40"/>
      <c r="AS123" s="39"/>
      <c r="AT123" s="39">
        <v>0</v>
      </c>
      <c r="AU123" s="39">
        <v>80</v>
      </c>
      <c r="AV123" s="43"/>
      <c r="AW123" s="43">
        <v>315</v>
      </c>
      <c r="AX123" s="43"/>
      <c r="AY123" s="43"/>
      <c r="AZ123" s="40">
        <v>15</v>
      </c>
      <c r="BA123" s="40"/>
      <c r="BB123" s="40">
        <v>15</v>
      </c>
      <c r="BC123" s="40">
        <v>0</v>
      </c>
      <c r="BD123" s="40"/>
      <c r="BE123" s="40"/>
      <c r="BF123" s="40"/>
      <c r="BG123" s="40"/>
      <c r="BH123" s="40"/>
      <c r="BI123" s="40">
        <v>15</v>
      </c>
      <c r="BJ123" s="40">
        <v>15</v>
      </c>
      <c r="BK123" s="39">
        <v>0</v>
      </c>
      <c r="BL123" s="39">
        <v>0</v>
      </c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>
        <v>1.2</v>
      </c>
      <c r="CH123" s="39">
        <v>0.5</v>
      </c>
      <c r="CI123" s="39">
        <v>0.1</v>
      </c>
      <c r="CJ123" s="39">
        <v>0.2</v>
      </c>
      <c r="CK123" s="39">
        <v>0</v>
      </c>
      <c r="CL123" s="39">
        <v>0.4</v>
      </c>
      <c r="CM123" s="39"/>
      <c r="CN123" s="39"/>
      <c r="CO123" s="39"/>
      <c r="CP123" s="39"/>
      <c r="CQ123" s="39">
        <v>2</v>
      </c>
      <c r="CR123" s="39">
        <v>0</v>
      </c>
      <c r="CS123" s="39">
        <v>0</v>
      </c>
      <c r="CT123" s="39">
        <v>1</v>
      </c>
      <c r="CU123" s="39">
        <v>0</v>
      </c>
      <c r="CV123" s="39">
        <v>1</v>
      </c>
      <c r="CW123" s="39"/>
      <c r="CX123" s="39"/>
      <c r="CY123" s="39"/>
      <c r="CZ123" s="39">
        <v>1000</v>
      </c>
      <c r="DA123" s="39">
        <v>0</v>
      </c>
      <c r="DB123" s="39">
        <v>0</v>
      </c>
      <c r="DC123" s="39">
        <v>500</v>
      </c>
      <c r="DD123" s="39">
        <v>0</v>
      </c>
      <c r="DE123" s="39">
        <v>500</v>
      </c>
      <c r="DF123" s="39"/>
      <c r="DG123" s="39"/>
      <c r="DH123" s="39"/>
      <c r="DI123" s="39">
        <v>7</v>
      </c>
      <c r="DJ123" s="39">
        <v>14</v>
      </c>
      <c r="DK123" s="39">
        <v>10</v>
      </c>
      <c r="DL123" s="39">
        <v>2</v>
      </c>
      <c r="DM123" s="39">
        <v>0</v>
      </c>
      <c r="DN123" s="39">
        <v>0</v>
      </c>
      <c r="DO123" s="39">
        <v>2</v>
      </c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>
        <v>0.3</v>
      </c>
      <c r="EK123" s="39">
        <v>0</v>
      </c>
      <c r="EL123" s="39">
        <v>0.1</v>
      </c>
      <c r="EM123" s="39">
        <v>0</v>
      </c>
      <c r="EN123" s="39">
        <v>0</v>
      </c>
      <c r="EO123" s="39">
        <v>0.2</v>
      </c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>
        <v>400</v>
      </c>
      <c r="FL123" s="39">
        <v>0</v>
      </c>
      <c r="FM123" s="39">
        <v>0</v>
      </c>
      <c r="FN123" s="39">
        <v>0</v>
      </c>
      <c r="FO123" s="39"/>
      <c r="FP123" s="39">
        <v>400</v>
      </c>
      <c r="FQ123" s="39"/>
      <c r="FR123" s="39"/>
      <c r="FS123" s="39">
        <f t="shared" si="31"/>
        <v>0</v>
      </c>
      <c r="FT123" s="39"/>
      <c r="FU123" s="39"/>
      <c r="FV123" s="39"/>
      <c r="FW123" s="39"/>
      <c r="FX123" s="39"/>
      <c r="FY123" s="39"/>
      <c r="FZ123" s="39"/>
      <c r="GA123" s="39"/>
      <c r="GB123" s="39"/>
      <c r="GC123" s="39"/>
      <c r="GD123" s="39"/>
      <c r="GE123" s="39"/>
      <c r="GF123" s="39"/>
      <c r="GG123" s="39"/>
      <c r="GH123" s="39"/>
      <c r="GI123" s="39"/>
      <c r="GJ123" s="39"/>
      <c r="GK123" s="39"/>
      <c r="GL123" s="39"/>
      <c r="GM123" s="39"/>
      <c r="GN123" s="39"/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R123" s="39"/>
      <c r="HS123" s="39"/>
      <c r="HT123" s="39"/>
      <c r="HU123" s="39"/>
      <c r="HV123" s="39"/>
      <c r="HW123" s="39"/>
      <c r="HX123" s="39"/>
      <c r="HY123" s="39"/>
      <c r="HZ123" s="39"/>
      <c r="IA123" s="39"/>
      <c r="IB123" s="39"/>
      <c r="IC123" s="39"/>
      <c r="ID123" s="39"/>
      <c r="IE123" s="54"/>
      <c r="IF123" s="43">
        <f t="shared" si="47"/>
        <v>1.2</v>
      </c>
      <c r="IG123" s="43">
        <f t="shared" si="48"/>
        <v>0.5</v>
      </c>
      <c r="IH123" s="43">
        <f t="shared" si="49"/>
        <v>0.1</v>
      </c>
      <c r="II123" s="43">
        <f t="shared" si="50"/>
        <v>0.2</v>
      </c>
      <c r="IJ123" s="43">
        <f t="shared" si="51"/>
        <v>0</v>
      </c>
      <c r="IK123" s="40">
        <f t="shared" si="46"/>
        <v>0.4</v>
      </c>
      <c r="IL123" s="40">
        <f t="shared" si="37"/>
        <v>0</v>
      </c>
      <c r="IM123" s="40">
        <f t="shared" si="37"/>
        <v>0</v>
      </c>
      <c r="IN123" s="40">
        <f t="shared" si="52"/>
        <v>2.2999999999999998</v>
      </c>
      <c r="IO123" s="40">
        <f t="shared" si="53"/>
        <v>0</v>
      </c>
      <c r="IP123" s="40">
        <f t="shared" si="54"/>
        <v>0.1</v>
      </c>
      <c r="IQ123" s="40">
        <f t="shared" si="55"/>
        <v>1</v>
      </c>
      <c r="IR123" s="40">
        <f t="shared" si="56"/>
        <v>0</v>
      </c>
      <c r="IS123" s="40">
        <f t="shared" si="57"/>
        <v>1.2</v>
      </c>
      <c r="IT123" s="40">
        <f t="shared" si="58"/>
        <v>0</v>
      </c>
      <c r="IU123" s="40">
        <f t="shared" si="45"/>
        <v>0</v>
      </c>
      <c r="IV123" s="39">
        <v>3.4</v>
      </c>
      <c r="IW123" s="44">
        <v>1</v>
      </c>
      <c r="IX123" s="39"/>
    </row>
    <row r="124" spans="1:258" s="55" customFormat="1">
      <c r="A124" s="45">
        <v>119</v>
      </c>
      <c r="B124" s="38" t="s">
        <v>203</v>
      </c>
      <c r="C124" s="38" t="s">
        <v>170</v>
      </c>
      <c r="D124" s="38" t="s">
        <v>196</v>
      </c>
      <c r="E124" s="39">
        <v>17.3</v>
      </c>
      <c r="F124" s="40"/>
      <c r="G124" s="40">
        <v>0</v>
      </c>
      <c r="H124" s="40"/>
      <c r="I124" s="40">
        <v>0</v>
      </c>
      <c r="J124" s="40">
        <v>0</v>
      </c>
      <c r="K124" s="40"/>
      <c r="L124" s="40"/>
      <c r="M124" s="40"/>
      <c r="N124" s="40"/>
      <c r="O124" s="39"/>
      <c r="P124" s="39">
        <v>0</v>
      </c>
      <c r="Q124" s="39">
        <v>0</v>
      </c>
      <c r="R124" s="43"/>
      <c r="S124" s="43"/>
      <c r="T124" s="43"/>
      <c r="U124" s="43"/>
      <c r="V124" s="40">
        <v>0</v>
      </c>
      <c r="W124" s="40">
        <v>0</v>
      </c>
      <c r="X124" s="40">
        <v>0</v>
      </c>
      <c r="Y124" s="41">
        <v>0</v>
      </c>
      <c r="Z124" s="41"/>
      <c r="AA124" s="41"/>
      <c r="AB124" s="41"/>
      <c r="AC124" s="41"/>
      <c r="AD124" s="39">
        <v>0</v>
      </c>
      <c r="AE124" s="39">
        <v>0</v>
      </c>
      <c r="AF124" s="39">
        <v>0</v>
      </c>
      <c r="AG124" s="43"/>
      <c r="AH124" s="43"/>
      <c r="AI124" s="43"/>
      <c r="AJ124" s="43"/>
      <c r="AK124" s="40">
        <v>835</v>
      </c>
      <c r="AL124" s="40"/>
      <c r="AM124" s="40">
        <v>380</v>
      </c>
      <c r="AN124" s="40">
        <v>0</v>
      </c>
      <c r="AO124" s="40">
        <v>20</v>
      </c>
      <c r="AP124" s="40">
        <v>435</v>
      </c>
      <c r="AQ124" s="40"/>
      <c r="AR124" s="40"/>
      <c r="AS124" s="39"/>
      <c r="AT124" s="39">
        <v>0</v>
      </c>
      <c r="AU124" s="39">
        <v>200</v>
      </c>
      <c r="AV124" s="43"/>
      <c r="AW124" s="43">
        <v>635</v>
      </c>
      <c r="AX124" s="43"/>
      <c r="AY124" s="43"/>
      <c r="AZ124" s="40">
        <v>15</v>
      </c>
      <c r="BA124" s="40"/>
      <c r="BB124" s="40">
        <v>15</v>
      </c>
      <c r="BC124" s="40">
        <v>0</v>
      </c>
      <c r="BD124" s="40"/>
      <c r="BE124" s="40"/>
      <c r="BF124" s="40"/>
      <c r="BG124" s="40"/>
      <c r="BH124" s="40"/>
      <c r="BI124" s="40">
        <v>15</v>
      </c>
      <c r="BJ124" s="40">
        <v>0</v>
      </c>
      <c r="BK124" s="39">
        <v>0</v>
      </c>
      <c r="BL124" s="39">
        <v>0</v>
      </c>
      <c r="BM124" s="39"/>
      <c r="BN124" s="39"/>
      <c r="BO124" s="39">
        <v>3</v>
      </c>
      <c r="BP124" s="39">
        <v>1</v>
      </c>
      <c r="BQ124" s="39">
        <v>0</v>
      </c>
      <c r="BR124" s="39">
        <v>0</v>
      </c>
      <c r="BS124" s="39">
        <v>2</v>
      </c>
      <c r="BT124" s="39"/>
      <c r="BU124" s="39"/>
      <c r="BV124" s="39"/>
      <c r="BW124" s="39"/>
      <c r="BX124" s="39">
        <v>0.6</v>
      </c>
      <c r="BY124" s="39">
        <v>0.3</v>
      </c>
      <c r="BZ124" s="39">
        <v>0</v>
      </c>
      <c r="CA124" s="39">
        <v>0.3</v>
      </c>
      <c r="CB124" s="39">
        <v>0</v>
      </c>
      <c r="CC124" s="39">
        <v>0</v>
      </c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>
        <v>4.5</v>
      </c>
      <c r="CR124" s="39">
        <v>0</v>
      </c>
      <c r="CS124" s="39">
        <v>0</v>
      </c>
      <c r="CT124" s="39">
        <v>0</v>
      </c>
      <c r="CU124" s="39">
        <v>0</v>
      </c>
      <c r="CV124" s="39">
        <v>4.5</v>
      </c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>
        <v>0.5</v>
      </c>
      <c r="EK124" s="39">
        <v>0</v>
      </c>
      <c r="EL124" s="39">
        <v>0.3</v>
      </c>
      <c r="EM124" s="39">
        <v>0.1</v>
      </c>
      <c r="EN124" s="39">
        <v>0</v>
      </c>
      <c r="EO124" s="39">
        <v>0.1</v>
      </c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>
        <v>1</v>
      </c>
      <c r="FH124" s="39"/>
      <c r="FI124" s="39"/>
      <c r="FJ124" s="39"/>
      <c r="FK124" s="39">
        <v>800</v>
      </c>
      <c r="FL124" s="39">
        <v>0</v>
      </c>
      <c r="FM124" s="39">
        <v>100</v>
      </c>
      <c r="FN124" s="39">
        <v>700</v>
      </c>
      <c r="FO124" s="39"/>
      <c r="FP124" s="39">
        <v>0</v>
      </c>
      <c r="FQ124" s="39"/>
      <c r="FR124" s="39"/>
      <c r="FS124" s="39">
        <f t="shared" si="31"/>
        <v>0</v>
      </c>
      <c r="FT124" s="39">
        <v>1</v>
      </c>
      <c r="FU124" s="39">
        <v>0</v>
      </c>
      <c r="FV124" s="39">
        <v>0</v>
      </c>
      <c r="FW124" s="39"/>
      <c r="FX124" s="39">
        <v>0</v>
      </c>
      <c r="FY124" s="39"/>
      <c r="FZ124" s="39">
        <v>1</v>
      </c>
      <c r="GA124" s="39"/>
      <c r="GB124" s="39"/>
      <c r="GC124" s="39"/>
      <c r="GD124" s="39"/>
      <c r="GE124" s="39"/>
      <c r="GF124" s="39"/>
      <c r="GG124" s="39"/>
      <c r="GH124" s="39"/>
      <c r="GI124" s="39"/>
      <c r="GJ124" s="39"/>
      <c r="GK124" s="39"/>
      <c r="GL124" s="39"/>
      <c r="GM124" s="39"/>
      <c r="GN124" s="39"/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R124" s="39"/>
      <c r="HS124" s="39"/>
      <c r="HT124" s="39"/>
      <c r="HU124" s="39"/>
      <c r="HV124" s="39"/>
      <c r="HW124" s="39"/>
      <c r="HX124" s="39"/>
      <c r="HY124" s="39"/>
      <c r="HZ124" s="39"/>
      <c r="IA124" s="39"/>
      <c r="IB124" s="39"/>
      <c r="IC124" s="39"/>
      <c r="ID124" s="39"/>
      <c r="IE124" s="54"/>
      <c r="IF124" s="43">
        <f t="shared" si="47"/>
        <v>0.6</v>
      </c>
      <c r="IG124" s="43">
        <f t="shared" si="48"/>
        <v>0.3</v>
      </c>
      <c r="IH124" s="43">
        <f t="shared" si="49"/>
        <v>0</v>
      </c>
      <c r="II124" s="43">
        <f t="shared" si="50"/>
        <v>0.3</v>
      </c>
      <c r="IJ124" s="43">
        <f t="shared" si="51"/>
        <v>0</v>
      </c>
      <c r="IK124" s="40">
        <f t="shared" si="46"/>
        <v>0</v>
      </c>
      <c r="IL124" s="40">
        <f t="shared" si="37"/>
        <v>0</v>
      </c>
      <c r="IM124" s="40">
        <f t="shared" si="37"/>
        <v>0</v>
      </c>
      <c r="IN124" s="40">
        <f t="shared" si="52"/>
        <v>5</v>
      </c>
      <c r="IO124" s="40">
        <f t="shared" si="53"/>
        <v>0</v>
      </c>
      <c r="IP124" s="40">
        <f t="shared" si="54"/>
        <v>0.3</v>
      </c>
      <c r="IQ124" s="40">
        <f t="shared" si="55"/>
        <v>0.1</v>
      </c>
      <c r="IR124" s="40">
        <f t="shared" si="56"/>
        <v>0</v>
      </c>
      <c r="IS124" s="40">
        <f t="shared" si="57"/>
        <v>4.5999999999999996</v>
      </c>
      <c r="IT124" s="40">
        <f t="shared" si="58"/>
        <v>0</v>
      </c>
      <c r="IU124" s="40">
        <f t="shared" si="45"/>
        <v>0</v>
      </c>
      <c r="IV124" s="39">
        <v>3.5</v>
      </c>
      <c r="IW124" s="44">
        <v>1</v>
      </c>
      <c r="IX124" s="39"/>
    </row>
    <row r="125" spans="1:258" s="55" customFormat="1">
      <c r="A125" s="37">
        <v>120</v>
      </c>
      <c r="B125" s="38" t="s">
        <v>204</v>
      </c>
      <c r="C125" s="38" t="s">
        <v>170</v>
      </c>
      <c r="D125" s="56" t="s">
        <v>192</v>
      </c>
      <c r="E125" s="39">
        <v>26.2</v>
      </c>
      <c r="F125" s="40"/>
      <c r="G125" s="40">
        <v>1000</v>
      </c>
      <c r="H125" s="40"/>
      <c r="I125" s="40">
        <v>1000</v>
      </c>
      <c r="J125" s="40">
        <v>0</v>
      </c>
      <c r="K125" s="40"/>
      <c r="L125" s="40"/>
      <c r="M125" s="40"/>
      <c r="N125" s="40"/>
      <c r="O125" s="39"/>
      <c r="P125" s="39">
        <v>1000</v>
      </c>
      <c r="Q125" s="39">
        <v>0</v>
      </c>
      <c r="R125" s="43"/>
      <c r="S125" s="43"/>
      <c r="T125" s="43"/>
      <c r="U125" s="43"/>
      <c r="V125" s="40">
        <v>729</v>
      </c>
      <c r="W125" s="40">
        <v>0</v>
      </c>
      <c r="X125" s="40">
        <v>0</v>
      </c>
      <c r="Y125" s="41">
        <v>729</v>
      </c>
      <c r="Z125" s="41"/>
      <c r="AA125" s="41"/>
      <c r="AB125" s="41"/>
      <c r="AC125" s="41"/>
      <c r="AD125" s="39">
        <v>0</v>
      </c>
      <c r="AE125" s="39">
        <v>0</v>
      </c>
      <c r="AF125" s="39">
        <v>0</v>
      </c>
      <c r="AG125" s="43"/>
      <c r="AH125" s="43">
        <v>729</v>
      </c>
      <c r="AI125" s="43"/>
      <c r="AJ125" s="43"/>
      <c r="AK125" s="40">
        <v>395</v>
      </c>
      <c r="AL125" s="40"/>
      <c r="AM125" s="40">
        <v>20</v>
      </c>
      <c r="AN125" s="40">
        <v>0</v>
      </c>
      <c r="AO125" s="40">
        <v>30</v>
      </c>
      <c r="AP125" s="40">
        <v>345</v>
      </c>
      <c r="AQ125" s="40"/>
      <c r="AR125" s="40"/>
      <c r="AS125" s="39"/>
      <c r="AT125" s="39">
        <v>20</v>
      </c>
      <c r="AU125" s="39">
        <v>0</v>
      </c>
      <c r="AV125" s="43"/>
      <c r="AW125" s="43">
        <v>375</v>
      </c>
      <c r="AX125" s="43"/>
      <c r="AY125" s="43"/>
      <c r="AZ125" s="40">
        <v>10</v>
      </c>
      <c r="BA125" s="40"/>
      <c r="BB125" s="40">
        <v>10</v>
      </c>
      <c r="BC125" s="40">
        <v>0</v>
      </c>
      <c r="BD125" s="40"/>
      <c r="BE125" s="40"/>
      <c r="BF125" s="40"/>
      <c r="BG125" s="40"/>
      <c r="BH125" s="40"/>
      <c r="BI125" s="40">
        <v>10</v>
      </c>
      <c r="BJ125" s="40">
        <v>0</v>
      </c>
      <c r="BK125" s="39">
        <v>0</v>
      </c>
      <c r="BL125" s="39">
        <v>0</v>
      </c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>
        <v>2.5</v>
      </c>
      <c r="CR125" s="39">
        <v>1.5</v>
      </c>
      <c r="CS125" s="39">
        <v>0.5</v>
      </c>
      <c r="CT125" s="39">
        <v>0.5</v>
      </c>
      <c r="CU125" s="39">
        <v>0</v>
      </c>
      <c r="CV125" s="39">
        <v>0</v>
      </c>
      <c r="CW125" s="39"/>
      <c r="CX125" s="39"/>
      <c r="CY125" s="39"/>
      <c r="CZ125" s="39">
        <v>50</v>
      </c>
      <c r="DA125" s="39">
        <v>0</v>
      </c>
      <c r="DB125" s="39">
        <v>50</v>
      </c>
      <c r="DC125" s="39">
        <v>0</v>
      </c>
      <c r="DD125" s="39">
        <v>0</v>
      </c>
      <c r="DE125" s="39">
        <v>0</v>
      </c>
      <c r="DF125" s="39"/>
      <c r="DG125" s="39"/>
      <c r="DH125" s="39"/>
      <c r="DI125" s="39">
        <v>1</v>
      </c>
      <c r="DJ125" s="39">
        <v>5</v>
      </c>
      <c r="DK125" s="39">
        <v>5</v>
      </c>
      <c r="DL125" s="39">
        <v>0</v>
      </c>
      <c r="DM125" s="39">
        <v>0</v>
      </c>
      <c r="DN125" s="39">
        <v>0</v>
      </c>
      <c r="DO125" s="39">
        <v>0</v>
      </c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>
        <v>1</v>
      </c>
      <c r="EK125" s="39">
        <v>0</v>
      </c>
      <c r="EL125" s="39">
        <v>0.5</v>
      </c>
      <c r="EM125" s="39">
        <v>0</v>
      </c>
      <c r="EN125" s="39">
        <v>0</v>
      </c>
      <c r="EO125" s="39">
        <v>0.5</v>
      </c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>
        <v>300</v>
      </c>
      <c r="FL125" s="39">
        <v>300</v>
      </c>
      <c r="FM125" s="39">
        <v>0</v>
      </c>
      <c r="FN125" s="39">
        <v>0</v>
      </c>
      <c r="FO125" s="39"/>
      <c r="FP125" s="39">
        <v>0</v>
      </c>
      <c r="FQ125" s="39"/>
      <c r="FR125" s="39"/>
      <c r="FS125" s="39">
        <f t="shared" si="31"/>
        <v>0</v>
      </c>
      <c r="FT125" s="39">
        <v>1</v>
      </c>
      <c r="FU125" s="39">
        <v>2</v>
      </c>
      <c r="FV125" s="39">
        <v>0</v>
      </c>
      <c r="FW125" s="39">
        <v>1</v>
      </c>
      <c r="FX125" s="39">
        <v>1</v>
      </c>
      <c r="FY125" s="39"/>
      <c r="FZ125" s="39">
        <v>1</v>
      </c>
      <c r="GA125" s="39"/>
      <c r="GB125" s="39"/>
      <c r="GC125" s="39"/>
      <c r="GD125" s="39"/>
      <c r="GE125" s="39"/>
      <c r="GF125" s="39"/>
      <c r="GG125" s="39"/>
      <c r="GH125" s="39"/>
      <c r="GI125" s="39"/>
      <c r="GJ125" s="39"/>
      <c r="GK125" s="39"/>
      <c r="GL125" s="39"/>
      <c r="GM125" s="39"/>
      <c r="GN125" s="39"/>
      <c r="GO125" s="39"/>
      <c r="GP125" s="39"/>
      <c r="GQ125" s="39"/>
      <c r="GR125" s="39"/>
      <c r="GS125" s="39"/>
      <c r="GT125" s="39"/>
      <c r="GU125" s="39"/>
      <c r="GV125" s="39"/>
      <c r="GW125" s="39"/>
      <c r="GX125" s="39"/>
      <c r="GY125" s="39"/>
      <c r="GZ125" s="39"/>
      <c r="HA125" s="39"/>
      <c r="HB125" s="39"/>
      <c r="HC125" s="39"/>
      <c r="HD125" s="39"/>
      <c r="HE125" s="39"/>
      <c r="HF125" s="39"/>
      <c r="HG125" s="39"/>
      <c r="HH125" s="39"/>
      <c r="HI125" s="39"/>
      <c r="HJ125" s="39"/>
      <c r="HK125" s="39"/>
      <c r="HL125" s="42"/>
      <c r="HM125" s="42"/>
      <c r="HN125" s="42"/>
      <c r="HO125" s="42"/>
      <c r="HP125" s="42"/>
      <c r="HQ125" s="42"/>
      <c r="HR125" s="42"/>
      <c r="HS125" s="42"/>
      <c r="HT125" s="42"/>
      <c r="HU125" s="42"/>
      <c r="HV125" s="42"/>
      <c r="HW125" s="42"/>
      <c r="HX125" s="42"/>
      <c r="HY125" s="42"/>
      <c r="HZ125" s="42"/>
      <c r="IA125" s="42"/>
      <c r="IB125" s="42"/>
      <c r="IC125" s="42"/>
      <c r="ID125" s="42"/>
      <c r="IE125" s="54"/>
      <c r="IF125" s="43">
        <f t="shared" si="47"/>
        <v>0</v>
      </c>
      <c r="IG125" s="43">
        <f t="shared" si="48"/>
        <v>0</v>
      </c>
      <c r="IH125" s="43">
        <f t="shared" si="49"/>
        <v>0</v>
      </c>
      <c r="II125" s="43">
        <f t="shared" si="50"/>
        <v>0</v>
      </c>
      <c r="IJ125" s="43">
        <f t="shared" si="51"/>
        <v>0</v>
      </c>
      <c r="IK125" s="40">
        <f t="shared" si="46"/>
        <v>0</v>
      </c>
      <c r="IL125" s="40">
        <f t="shared" si="37"/>
        <v>0</v>
      </c>
      <c r="IM125" s="40">
        <f t="shared" si="37"/>
        <v>0</v>
      </c>
      <c r="IN125" s="40">
        <f t="shared" si="52"/>
        <v>3.5</v>
      </c>
      <c r="IO125" s="40">
        <f t="shared" si="53"/>
        <v>1.5</v>
      </c>
      <c r="IP125" s="40">
        <f t="shared" si="54"/>
        <v>1</v>
      </c>
      <c r="IQ125" s="40">
        <f t="shared" si="55"/>
        <v>0.5</v>
      </c>
      <c r="IR125" s="40">
        <f t="shared" si="56"/>
        <v>0</v>
      </c>
      <c r="IS125" s="40">
        <f t="shared" si="57"/>
        <v>0.5</v>
      </c>
      <c r="IT125" s="40">
        <f t="shared" si="58"/>
        <v>0</v>
      </c>
      <c r="IU125" s="40">
        <f t="shared" si="45"/>
        <v>0</v>
      </c>
      <c r="IV125" s="39">
        <v>8.6</v>
      </c>
      <c r="IW125" s="44">
        <v>1</v>
      </c>
      <c r="IX125" s="39"/>
    </row>
    <row r="126" spans="1:258" s="55" customFormat="1">
      <c r="A126" s="37">
        <v>121</v>
      </c>
      <c r="B126" s="38" t="s">
        <v>205</v>
      </c>
      <c r="C126" s="38" t="s">
        <v>170</v>
      </c>
      <c r="D126" s="38" t="s">
        <v>196</v>
      </c>
      <c r="E126" s="39">
        <v>27.7</v>
      </c>
      <c r="F126" s="40"/>
      <c r="G126" s="40">
        <v>0</v>
      </c>
      <c r="H126" s="40"/>
      <c r="I126" s="40">
        <v>0</v>
      </c>
      <c r="J126" s="40">
        <v>0</v>
      </c>
      <c r="K126" s="40"/>
      <c r="L126" s="40"/>
      <c r="M126" s="40"/>
      <c r="N126" s="40"/>
      <c r="O126" s="39"/>
      <c r="P126" s="39">
        <v>0</v>
      </c>
      <c r="Q126" s="39">
        <v>0</v>
      </c>
      <c r="R126" s="43"/>
      <c r="S126" s="43"/>
      <c r="T126" s="43"/>
      <c r="U126" s="43"/>
      <c r="V126" s="40">
        <v>0</v>
      </c>
      <c r="W126" s="40">
        <v>0</v>
      </c>
      <c r="X126" s="40">
        <v>0</v>
      </c>
      <c r="Y126" s="41">
        <v>0</v>
      </c>
      <c r="Z126" s="41"/>
      <c r="AA126" s="41"/>
      <c r="AB126" s="41"/>
      <c r="AC126" s="41"/>
      <c r="AD126" s="39">
        <v>0</v>
      </c>
      <c r="AE126" s="39">
        <v>0</v>
      </c>
      <c r="AF126" s="39">
        <v>0</v>
      </c>
      <c r="AG126" s="43"/>
      <c r="AH126" s="43"/>
      <c r="AI126" s="43"/>
      <c r="AJ126" s="43"/>
      <c r="AK126" s="40">
        <v>710</v>
      </c>
      <c r="AL126" s="40"/>
      <c r="AM126" s="40">
        <v>310</v>
      </c>
      <c r="AN126" s="40">
        <v>0</v>
      </c>
      <c r="AO126" s="40">
        <v>0</v>
      </c>
      <c r="AP126" s="40">
        <v>400</v>
      </c>
      <c r="AQ126" s="40"/>
      <c r="AR126" s="40"/>
      <c r="AS126" s="39"/>
      <c r="AT126" s="39">
        <v>0</v>
      </c>
      <c r="AU126" s="39">
        <v>200</v>
      </c>
      <c r="AV126" s="43"/>
      <c r="AW126" s="43">
        <v>510</v>
      </c>
      <c r="AX126" s="43"/>
      <c r="AY126" s="43"/>
      <c r="AZ126" s="40">
        <v>0</v>
      </c>
      <c r="BA126" s="40"/>
      <c r="BB126" s="40">
        <v>0</v>
      </c>
      <c r="BC126" s="40">
        <v>0</v>
      </c>
      <c r="BD126" s="40"/>
      <c r="BE126" s="40"/>
      <c r="BF126" s="40"/>
      <c r="BG126" s="40"/>
      <c r="BH126" s="40"/>
      <c r="BI126" s="40">
        <v>0</v>
      </c>
      <c r="BJ126" s="40">
        <v>0</v>
      </c>
      <c r="BK126" s="39">
        <v>0</v>
      </c>
      <c r="BL126" s="39">
        <v>0</v>
      </c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>
        <v>0.4</v>
      </c>
      <c r="CH126" s="39">
        <v>0</v>
      </c>
      <c r="CI126" s="39">
        <v>0</v>
      </c>
      <c r="CJ126" s="39">
        <v>0.4</v>
      </c>
      <c r="CK126" s="39">
        <v>0</v>
      </c>
      <c r="CL126" s="39">
        <v>0</v>
      </c>
      <c r="CM126" s="39"/>
      <c r="CN126" s="39"/>
      <c r="CO126" s="39"/>
      <c r="CP126" s="39"/>
      <c r="CQ126" s="39">
        <v>4.4000000000000004</v>
      </c>
      <c r="CR126" s="39">
        <v>0</v>
      </c>
      <c r="CS126" s="39">
        <v>0</v>
      </c>
      <c r="CT126" s="39">
        <v>2</v>
      </c>
      <c r="CU126" s="39">
        <v>0</v>
      </c>
      <c r="CV126" s="39">
        <v>2.4</v>
      </c>
      <c r="CW126" s="39"/>
      <c r="CX126" s="39"/>
      <c r="CY126" s="39"/>
      <c r="CZ126" s="39">
        <v>1000</v>
      </c>
      <c r="DA126" s="39">
        <v>0</v>
      </c>
      <c r="DB126" s="39">
        <v>0</v>
      </c>
      <c r="DC126" s="39">
        <v>500</v>
      </c>
      <c r="DD126" s="39">
        <v>0</v>
      </c>
      <c r="DE126" s="39">
        <v>500</v>
      </c>
      <c r="DF126" s="39"/>
      <c r="DG126" s="39"/>
      <c r="DH126" s="39"/>
      <c r="DI126" s="39">
        <v>3</v>
      </c>
      <c r="DJ126" s="39">
        <v>10</v>
      </c>
      <c r="DK126" s="39">
        <v>7</v>
      </c>
      <c r="DL126" s="39">
        <v>0</v>
      </c>
      <c r="DM126" s="39">
        <v>1</v>
      </c>
      <c r="DN126" s="39">
        <v>0</v>
      </c>
      <c r="DO126" s="39">
        <v>2</v>
      </c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>
        <v>800</v>
      </c>
      <c r="FL126" s="39">
        <v>0</v>
      </c>
      <c r="FM126" s="39">
        <v>0</v>
      </c>
      <c r="FN126" s="39">
        <v>0</v>
      </c>
      <c r="FO126" s="39"/>
      <c r="FP126" s="39">
        <v>800</v>
      </c>
      <c r="FQ126" s="39"/>
      <c r="FR126" s="39"/>
      <c r="FS126" s="39">
        <f t="shared" si="31"/>
        <v>0</v>
      </c>
      <c r="FT126" s="39"/>
      <c r="FU126" s="39"/>
      <c r="FV126" s="39"/>
      <c r="FW126" s="39"/>
      <c r="FX126" s="39"/>
      <c r="FY126" s="39"/>
      <c r="FZ126" s="39"/>
      <c r="GA126" s="39"/>
      <c r="GB126" s="39"/>
      <c r="GC126" s="39"/>
      <c r="GD126" s="39"/>
      <c r="GE126" s="39"/>
      <c r="GF126" s="39"/>
      <c r="GG126" s="39"/>
      <c r="GH126" s="39"/>
      <c r="GI126" s="39"/>
      <c r="GJ126" s="39"/>
      <c r="GK126" s="39"/>
      <c r="GL126" s="39"/>
      <c r="GM126" s="39"/>
      <c r="GN126" s="39"/>
      <c r="GO126" s="39"/>
      <c r="GP126" s="39"/>
      <c r="GQ126" s="39"/>
      <c r="GR126" s="39"/>
      <c r="GS126" s="39"/>
      <c r="GT126" s="39"/>
      <c r="GU126" s="39"/>
      <c r="GV126" s="39"/>
      <c r="GW126" s="39"/>
      <c r="GX126" s="39"/>
      <c r="GY126" s="39"/>
      <c r="GZ126" s="39"/>
      <c r="HA126" s="39"/>
      <c r="HB126" s="39"/>
      <c r="HC126" s="39"/>
      <c r="HD126" s="39"/>
      <c r="HE126" s="39"/>
      <c r="HF126" s="39"/>
      <c r="HG126" s="39"/>
      <c r="HH126" s="39"/>
      <c r="HI126" s="39"/>
      <c r="HJ126" s="39"/>
      <c r="HK126" s="39"/>
      <c r="HL126" s="39"/>
      <c r="HM126" s="39"/>
      <c r="HN126" s="39"/>
      <c r="HO126" s="39"/>
      <c r="HP126" s="39"/>
      <c r="HQ126" s="39"/>
      <c r="HR126" s="39"/>
      <c r="HS126" s="39"/>
      <c r="HT126" s="39"/>
      <c r="HU126" s="39"/>
      <c r="HV126" s="39"/>
      <c r="HW126" s="39"/>
      <c r="HX126" s="39"/>
      <c r="HY126" s="39"/>
      <c r="HZ126" s="39"/>
      <c r="IA126" s="39"/>
      <c r="IB126" s="39"/>
      <c r="IC126" s="39"/>
      <c r="ID126" s="39"/>
      <c r="IE126" s="54"/>
      <c r="IF126" s="43">
        <f t="shared" si="47"/>
        <v>0.4</v>
      </c>
      <c r="IG126" s="43">
        <f t="shared" si="48"/>
        <v>0</v>
      </c>
      <c r="IH126" s="43">
        <f t="shared" si="49"/>
        <v>0</v>
      </c>
      <c r="II126" s="43">
        <f t="shared" si="50"/>
        <v>0.4</v>
      </c>
      <c r="IJ126" s="43">
        <f t="shared" si="51"/>
        <v>0</v>
      </c>
      <c r="IK126" s="40">
        <f t="shared" si="46"/>
        <v>0</v>
      </c>
      <c r="IL126" s="40">
        <f t="shared" si="37"/>
        <v>0</v>
      </c>
      <c r="IM126" s="40">
        <f t="shared" si="37"/>
        <v>0</v>
      </c>
      <c r="IN126" s="40">
        <f t="shared" si="52"/>
        <v>4.4000000000000004</v>
      </c>
      <c r="IO126" s="40">
        <f t="shared" si="53"/>
        <v>0</v>
      </c>
      <c r="IP126" s="40">
        <f t="shared" si="54"/>
        <v>0</v>
      </c>
      <c r="IQ126" s="40">
        <f t="shared" si="55"/>
        <v>2</v>
      </c>
      <c r="IR126" s="40">
        <f t="shared" si="56"/>
        <v>0</v>
      </c>
      <c r="IS126" s="40">
        <f t="shared" si="57"/>
        <v>2.4</v>
      </c>
      <c r="IT126" s="40">
        <f t="shared" si="58"/>
        <v>0</v>
      </c>
      <c r="IU126" s="40">
        <f t="shared" si="45"/>
        <v>0</v>
      </c>
      <c r="IV126" s="39">
        <v>4.2</v>
      </c>
      <c r="IW126" s="44">
        <v>1</v>
      </c>
      <c r="IX126" s="39"/>
    </row>
    <row r="127" spans="1:258" s="55" customFormat="1">
      <c r="A127" s="37">
        <v>122</v>
      </c>
      <c r="B127" s="38" t="s">
        <v>206</v>
      </c>
      <c r="C127" s="38" t="s">
        <v>170</v>
      </c>
      <c r="D127" s="38" t="s">
        <v>196</v>
      </c>
      <c r="E127" s="39">
        <v>11.6</v>
      </c>
      <c r="F127" s="40"/>
      <c r="G127" s="40">
        <v>50</v>
      </c>
      <c r="H127" s="40"/>
      <c r="I127" s="40">
        <v>50</v>
      </c>
      <c r="J127" s="40">
        <v>0</v>
      </c>
      <c r="K127" s="40"/>
      <c r="L127" s="40"/>
      <c r="M127" s="40"/>
      <c r="N127" s="40"/>
      <c r="O127" s="39"/>
      <c r="P127" s="39">
        <v>0</v>
      </c>
      <c r="Q127" s="39">
        <v>50</v>
      </c>
      <c r="R127" s="43"/>
      <c r="S127" s="43"/>
      <c r="T127" s="43"/>
      <c r="U127" s="43"/>
      <c r="V127" s="40">
        <v>0</v>
      </c>
      <c r="W127" s="40">
        <v>0</v>
      </c>
      <c r="X127" s="40">
        <v>0</v>
      </c>
      <c r="Y127" s="41">
        <v>0</v>
      </c>
      <c r="Z127" s="41"/>
      <c r="AA127" s="41"/>
      <c r="AB127" s="41"/>
      <c r="AC127" s="41"/>
      <c r="AD127" s="39">
        <v>0</v>
      </c>
      <c r="AE127" s="39">
        <v>0</v>
      </c>
      <c r="AF127" s="39">
        <v>0</v>
      </c>
      <c r="AG127" s="43"/>
      <c r="AH127" s="43"/>
      <c r="AI127" s="43"/>
      <c r="AJ127" s="43"/>
      <c r="AK127" s="40">
        <v>255</v>
      </c>
      <c r="AL127" s="40"/>
      <c r="AM127" s="40">
        <v>50</v>
      </c>
      <c r="AN127" s="40">
        <v>0</v>
      </c>
      <c r="AO127" s="40">
        <v>5</v>
      </c>
      <c r="AP127" s="40">
        <v>200</v>
      </c>
      <c r="AQ127" s="40"/>
      <c r="AR127" s="40"/>
      <c r="AS127" s="39"/>
      <c r="AT127" s="39">
        <v>0</v>
      </c>
      <c r="AU127" s="39">
        <v>50</v>
      </c>
      <c r="AV127" s="43"/>
      <c r="AW127" s="43">
        <v>205</v>
      </c>
      <c r="AX127" s="43"/>
      <c r="AY127" s="43"/>
      <c r="AZ127" s="40">
        <v>0</v>
      </c>
      <c r="BA127" s="40"/>
      <c r="BB127" s="40">
        <v>0</v>
      </c>
      <c r="BC127" s="40">
        <v>0</v>
      </c>
      <c r="BD127" s="40"/>
      <c r="BE127" s="40"/>
      <c r="BF127" s="40"/>
      <c r="BG127" s="40"/>
      <c r="BH127" s="40"/>
      <c r="BI127" s="40">
        <v>0</v>
      </c>
      <c r="BJ127" s="40">
        <v>0</v>
      </c>
      <c r="BK127" s="39">
        <v>0</v>
      </c>
      <c r="BL127" s="39">
        <v>0</v>
      </c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>
        <v>1</v>
      </c>
      <c r="CH127" s="39">
        <v>0.5</v>
      </c>
      <c r="CI127" s="39">
        <v>0</v>
      </c>
      <c r="CJ127" s="39">
        <v>0.5</v>
      </c>
      <c r="CK127" s="39">
        <v>0</v>
      </c>
      <c r="CL127" s="39">
        <v>0</v>
      </c>
      <c r="CM127" s="39"/>
      <c r="CN127" s="39"/>
      <c r="CO127" s="39"/>
      <c r="CP127" s="39"/>
      <c r="CQ127" s="39">
        <v>4.7</v>
      </c>
      <c r="CR127" s="39">
        <v>0</v>
      </c>
      <c r="CS127" s="39">
        <v>0</v>
      </c>
      <c r="CT127" s="39">
        <v>1.5</v>
      </c>
      <c r="CU127" s="39">
        <v>0</v>
      </c>
      <c r="CV127" s="39">
        <v>3.2</v>
      </c>
      <c r="CW127" s="39"/>
      <c r="CX127" s="39"/>
      <c r="CY127" s="39"/>
      <c r="CZ127" s="39">
        <v>520</v>
      </c>
      <c r="DA127" s="39">
        <v>0</v>
      </c>
      <c r="DB127" s="39">
        <v>0</v>
      </c>
      <c r="DC127" s="39">
        <v>50</v>
      </c>
      <c r="DD127" s="39">
        <v>0</v>
      </c>
      <c r="DE127" s="39">
        <v>470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>
        <v>0.6</v>
      </c>
      <c r="EK127" s="39">
        <v>0</v>
      </c>
      <c r="EL127" s="39">
        <v>0.3</v>
      </c>
      <c r="EM127" s="39">
        <v>0.4</v>
      </c>
      <c r="EN127" s="39">
        <v>0</v>
      </c>
      <c r="EO127" s="39">
        <v>0</v>
      </c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>
        <v>200</v>
      </c>
      <c r="FL127" s="39">
        <v>0</v>
      </c>
      <c r="FM127" s="39">
        <v>0</v>
      </c>
      <c r="FN127" s="39">
        <v>200</v>
      </c>
      <c r="FO127" s="39"/>
      <c r="FP127" s="39">
        <v>0</v>
      </c>
      <c r="FQ127" s="39"/>
      <c r="FR127" s="39"/>
      <c r="FS127" s="39">
        <f t="shared" si="31"/>
        <v>0</v>
      </c>
      <c r="FT127" s="39"/>
      <c r="FU127" s="39"/>
      <c r="FV127" s="39"/>
      <c r="FW127" s="39"/>
      <c r="FX127" s="39"/>
      <c r="FY127" s="39"/>
      <c r="FZ127" s="39"/>
      <c r="GA127" s="39"/>
      <c r="GB127" s="39"/>
      <c r="GC127" s="39"/>
      <c r="GD127" s="39"/>
      <c r="GE127" s="39"/>
      <c r="GF127" s="39"/>
      <c r="GG127" s="39"/>
      <c r="GH127" s="39"/>
      <c r="GI127" s="39"/>
      <c r="GJ127" s="39"/>
      <c r="GK127" s="39"/>
      <c r="GL127" s="39"/>
      <c r="GM127" s="39"/>
      <c r="GN127" s="39"/>
      <c r="GO127" s="39"/>
      <c r="GP127" s="39"/>
      <c r="GQ127" s="39"/>
      <c r="GR127" s="39"/>
      <c r="GS127" s="39"/>
      <c r="GT127" s="39"/>
      <c r="GU127" s="39"/>
      <c r="GV127" s="39"/>
      <c r="GW127" s="39"/>
      <c r="GX127" s="39"/>
      <c r="GY127" s="39"/>
      <c r="GZ127" s="39"/>
      <c r="HA127" s="39"/>
      <c r="HB127" s="39"/>
      <c r="HC127" s="39"/>
      <c r="HD127" s="39"/>
      <c r="HE127" s="39"/>
      <c r="HF127" s="39"/>
      <c r="HG127" s="39"/>
      <c r="HH127" s="39"/>
      <c r="HI127" s="39"/>
      <c r="HJ127" s="39"/>
      <c r="HK127" s="39"/>
      <c r="HL127" s="39"/>
      <c r="HM127" s="39"/>
      <c r="HN127" s="39"/>
      <c r="HO127" s="39"/>
      <c r="HP127" s="39"/>
      <c r="HQ127" s="39"/>
      <c r="HR127" s="39"/>
      <c r="HS127" s="39"/>
      <c r="HT127" s="39"/>
      <c r="HU127" s="39"/>
      <c r="HV127" s="39"/>
      <c r="HW127" s="39"/>
      <c r="HX127" s="39"/>
      <c r="HY127" s="39"/>
      <c r="HZ127" s="39"/>
      <c r="IA127" s="39"/>
      <c r="IB127" s="39"/>
      <c r="IC127" s="39"/>
      <c r="ID127" s="39"/>
      <c r="IE127" s="54"/>
      <c r="IF127" s="43">
        <f t="shared" si="47"/>
        <v>1</v>
      </c>
      <c r="IG127" s="43">
        <f t="shared" si="48"/>
        <v>0.5</v>
      </c>
      <c r="IH127" s="43">
        <f t="shared" si="49"/>
        <v>0</v>
      </c>
      <c r="II127" s="43">
        <f t="shared" si="50"/>
        <v>0.5</v>
      </c>
      <c r="IJ127" s="43">
        <f t="shared" si="51"/>
        <v>0</v>
      </c>
      <c r="IK127" s="40">
        <f t="shared" si="46"/>
        <v>0</v>
      </c>
      <c r="IL127" s="40">
        <f t="shared" si="37"/>
        <v>0</v>
      </c>
      <c r="IM127" s="40">
        <f t="shared" si="37"/>
        <v>0</v>
      </c>
      <c r="IN127" s="40">
        <f t="shared" si="52"/>
        <v>5.3</v>
      </c>
      <c r="IO127" s="40">
        <f t="shared" si="53"/>
        <v>0</v>
      </c>
      <c r="IP127" s="40">
        <f t="shared" si="54"/>
        <v>0.3</v>
      </c>
      <c r="IQ127" s="40">
        <f t="shared" si="55"/>
        <v>1.9</v>
      </c>
      <c r="IR127" s="40">
        <f t="shared" si="56"/>
        <v>0</v>
      </c>
      <c r="IS127" s="40">
        <f t="shared" si="57"/>
        <v>3.2</v>
      </c>
      <c r="IT127" s="40">
        <f t="shared" si="58"/>
        <v>0</v>
      </c>
      <c r="IU127" s="40">
        <f t="shared" si="45"/>
        <v>0</v>
      </c>
      <c r="IV127" s="39">
        <v>2.2000000000000002</v>
      </c>
      <c r="IW127" s="44">
        <v>1</v>
      </c>
      <c r="IX127" s="39"/>
    </row>
    <row r="128" spans="1:258" s="55" customFormat="1">
      <c r="A128" s="45">
        <v>90</v>
      </c>
      <c r="B128" s="38" t="s">
        <v>207</v>
      </c>
      <c r="C128" s="38" t="s">
        <v>170</v>
      </c>
      <c r="D128" s="38" t="s">
        <v>173</v>
      </c>
      <c r="E128" s="39">
        <v>11.4</v>
      </c>
      <c r="F128" s="40"/>
      <c r="G128" s="40">
        <v>20</v>
      </c>
      <c r="H128" s="40"/>
      <c r="I128" s="40">
        <v>20</v>
      </c>
      <c r="J128" s="40">
        <v>0</v>
      </c>
      <c r="K128" s="40"/>
      <c r="L128" s="40"/>
      <c r="M128" s="40"/>
      <c r="N128" s="40"/>
      <c r="O128" s="39"/>
      <c r="P128" s="39">
        <v>20</v>
      </c>
      <c r="Q128" s="39">
        <v>0</v>
      </c>
      <c r="R128" s="43"/>
      <c r="S128" s="43"/>
      <c r="T128" s="43"/>
      <c r="U128" s="43"/>
      <c r="V128" s="40">
        <v>0</v>
      </c>
      <c r="W128" s="40">
        <v>0</v>
      </c>
      <c r="X128" s="40">
        <v>0</v>
      </c>
      <c r="Y128" s="41">
        <v>0</v>
      </c>
      <c r="Z128" s="41"/>
      <c r="AA128" s="41"/>
      <c r="AB128" s="41"/>
      <c r="AC128" s="41"/>
      <c r="AD128" s="39">
        <v>0</v>
      </c>
      <c r="AE128" s="39">
        <v>0</v>
      </c>
      <c r="AF128" s="39">
        <v>0</v>
      </c>
      <c r="AG128" s="43"/>
      <c r="AH128" s="43"/>
      <c r="AI128" s="43"/>
      <c r="AJ128" s="43"/>
      <c r="AK128" s="40">
        <v>878</v>
      </c>
      <c r="AL128" s="40"/>
      <c r="AM128" s="40">
        <v>301</v>
      </c>
      <c r="AN128" s="40">
        <v>0</v>
      </c>
      <c r="AO128" s="40">
        <v>0</v>
      </c>
      <c r="AP128" s="40">
        <v>577</v>
      </c>
      <c r="AQ128" s="40"/>
      <c r="AR128" s="40"/>
      <c r="AS128" s="39"/>
      <c r="AT128" s="39">
        <v>0</v>
      </c>
      <c r="AU128" s="39">
        <v>301</v>
      </c>
      <c r="AV128" s="43"/>
      <c r="AW128" s="43">
        <v>577</v>
      </c>
      <c r="AX128" s="43"/>
      <c r="AY128" s="43"/>
      <c r="AZ128" s="40">
        <v>0</v>
      </c>
      <c r="BA128" s="40"/>
      <c r="BB128" s="40">
        <v>0</v>
      </c>
      <c r="BC128" s="40">
        <v>0</v>
      </c>
      <c r="BD128" s="40"/>
      <c r="BE128" s="40"/>
      <c r="BF128" s="40"/>
      <c r="BG128" s="40"/>
      <c r="BH128" s="40"/>
      <c r="BI128" s="40">
        <v>0</v>
      </c>
      <c r="BJ128" s="40">
        <v>0</v>
      </c>
      <c r="BK128" s="39">
        <v>0</v>
      </c>
      <c r="BL128" s="39">
        <v>0</v>
      </c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>
        <v>5.7</v>
      </c>
      <c r="CR128" s="39"/>
      <c r="CS128" s="39">
        <v>3</v>
      </c>
      <c r="CT128" s="39">
        <v>5.7</v>
      </c>
      <c r="CU128" s="39">
        <v>0</v>
      </c>
      <c r="CV128" s="39">
        <v>0</v>
      </c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>
        <v>4</v>
      </c>
      <c r="DJ128" s="39">
        <v>4</v>
      </c>
      <c r="DK128" s="39"/>
      <c r="DL128" s="39">
        <v>0</v>
      </c>
      <c r="DM128" s="39">
        <v>4</v>
      </c>
      <c r="DN128" s="39">
        <v>0</v>
      </c>
      <c r="DO128" s="39">
        <v>0</v>
      </c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>
        <v>0.1</v>
      </c>
      <c r="EK128" s="39">
        <v>0</v>
      </c>
      <c r="EL128" s="39">
        <v>0.1</v>
      </c>
      <c r="EM128" s="39">
        <v>0</v>
      </c>
      <c r="EN128" s="39">
        <v>0</v>
      </c>
      <c r="EO128" s="39">
        <v>0</v>
      </c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>
        <f>SUM(FL128+FM128+FN128+FO128+FP128)-FK128</f>
        <v>0</v>
      </c>
      <c r="FT128" s="39"/>
      <c r="FU128" s="39"/>
      <c r="FV128" s="39"/>
      <c r="FW128" s="39"/>
      <c r="FX128" s="39">
        <v>1</v>
      </c>
      <c r="FY128" s="39"/>
      <c r="FZ128" s="39"/>
      <c r="GA128" s="39"/>
      <c r="GB128" s="39"/>
      <c r="GC128" s="39"/>
      <c r="GD128" s="39"/>
      <c r="GE128" s="39"/>
      <c r="GF128" s="39"/>
      <c r="GG128" s="39"/>
      <c r="GH128" s="39"/>
      <c r="GI128" s="39"/>
      <c r="GJ128" s="39"/>
      <c r="GK128" s="39"/>
      <c r="GL128" s="39"/>
      <c r="GM128" s="39"/>
      <c r="GN128" s="39"/>
      <c r="GO128" s="39"/>
      <c r="GP128" s="39"/>
      <c r="GQ128" s="39"/>
      <c r="GR128" s="39"/>
      <c r="GS128" s="39"/>
      <c r="GT128" s="39">
        <v>0.47</v>
      </c>
      <c r="GU128" s="39">
        <v>0</v>
      </c>
      <c r="GV128" s="39">
        <v>0.1</v>
      </c>
      <c r="GW128" s="39">
        <v>0.37</v>
      </c>
      <c r="GX128" s="39"/>
      <c r="GY128" s="39"/>
      <c r="GZ128" s="39"/>
      <c r="HA128" s="39"/>
      <c r="HB128" s="39"/>
      <c r="HC128" s="39"/>
      <c r="HD128" s="39"/>
      <c r="HE128" s="39"/>
      <c r="HF128" s="39"/>
      <c r="HG128" s="39"/>
      <c r="HH128" s="39"/>
      <c r="HI128" s="39"/>
      <c r="HJ128" s="39"/>
      <c r="HK128" s="39"/>
      <c r="HL128" s="39"/>
      <c r="HM128" s="39"/>
      <c r="HN128" s="39"/>
      <c r="HO128" s="39"/>
      <c r="HP128" s="39"/>
      <c r="HQ128" s="39"/>
      <c r="HR128" s="39"/>
      <c r="HS128" s="39"/>
      <c r="HT128" s="39"/>
      <c r="HU128" s="39"/>
      <c r="HV128" s="39"/>
      <c r="HW128" s="39"/>
      <c r="HX128" s="39"/>
      <c r="HY128" s="39"/>
      <c r="HZ128" s="39"/>
      <c r="IA128" s="39"/>
      <c r="IB128" s="39"/>
      <c r="IC128" s="39"/>
      <c r="ID128" s="39"/>
      <c r="IE128" s="54"/>
      <c r="IF128" s="43">
        <f t="shared" si="47"/>
        <v>0.47</v>
      </c>
      <c r="IG128" s="43">
        <f t="shared" si="48"/>
        <v>0</v>
      </c>
      <c r="IH128" s="43">
        <f t="shared" si="49"/>
        <v>0.1</v>
      </c>
      <c r="II128" s="43">
        <f t="shared" si="50"/>
        <v>0.37</v>
      </c>
      <c r="IJ128" s="43">
        <f t="shared" si="51"/>
        <v>0</v>
      </c>
      <c r="IK128" s="40">
        <f t="shared" si="46"/>
        <v>0</v>
      </c>
      <c r="IL128" s="40">
        <f t="shared" si="37"/>
        <v>0</v>
      </c>
      <c r="IM128" s="40">
        <f t="shared" si="37"/>
        <v>0</v>
      </c>
      <c r="IN128" s="40">
        <f t="shared" si="52"/>
        <v>5.8</v>
      </c>
      <c r="IO128" s="40">
        <f t="shared" si="53"/>
        <v>0</v>
      </c>
      <c r="IP128" s="40">
        <f t="shared" si="54"/>
        <v>3.1</v>
      </c>
      <c r="IQ128" s="40">
        <f t="shared" si="55"/>
        <v>5.7</v>
      </c>
      <c r="IR128" s="40">
        <f t="shared" si="56"/>
        <v>0</v>
      </c>
      <c r="IS128" s="40">
        <f t="shared" si="57"/>
        <v>0</v>
      </c>
      <c r="IT128" s="40">
        <f t="shared" si="58"/>
        <v>0</v>
      </c>
      <c r="IU128" s="40">
        <f t="shared" si="45"/>
        <v>0</v>
      </c>
      <c r="IV128" s="39">
        <v>2.2999999999999998</v>
      </c>
      <c r="IW128" s="44">
        <v>1</v>
      </c>
      <c r="IX128" s="39"/>
    </row>
    <row r="129" spans="1:332" s="25" customFormat="1">
      <c r="A129" s="22"/>
      <c r="B129" s="23"/>
      <c r="C129" s="23"/>
      <c r="D129" s="23"/>
      <c r="E129" s="26">
        <f t="shared" ref="E129:U129" si="59">SUM(E7:E128)</f>
        <v>3757.2999999999979</v>
      </c>
      <c r="F129" s="27">
        <f t="shared" si="59"/>
        <v>385.19999999999993</v>
      </c>
      <c r="G129" s="27">
        <f t="shared" si="59"/>
        <v>58645</v>
      </c>
      <c r="H129" s="27">
        <f t="shared" si="59"/>
        <v>0</v>
      </c>
      <c r="I129" s="27">
        <f t="shared" si="59"/>
        <v>47784</v>
      </c>
      <c r="J129" s="27">
        <f t="shared" si="59"/>
        <v>861</v>
      </c>
      <c r="K129" s="27">
        <f t="shared" si="59"/>
        <v>0</v>
      </c>
      <c r="L129" s="27">
        <f t="shared" si="59"/>
        <v>0</v>
      </c>
      <c r="M129" s="27">
        <f t="shared" si="59"/>
        <v>0</v>
      </c>
      <c r="N129" s="27">
        <f t="shared" si="59"/>
        <v>0</v>
      </c>
      <c r="O129" s="27">
        <f t="shared" si="59"/>
        <v>10250</v>
      </c>
      <c r="P129" s="27">
        <f t="shared" si="59"/>
        <v>27115</v>
      </c>
      <c r="Q129" s="27">
        <f t="shared" si="59"/>
        <v>11020</v>
      </c>
      <c r="R129" s="27">
        <f t="shared" si="59"/>
        <v>0</v>
      </c>
      <c r="S129" s="27">
        <f t="shared" si="59"/>
        <v>10</v>
      </c>
      <c r="T129" s="27">
        <f t="shared" si="59"/>
        <v>250</v>
      </c>
      <c r="U129" s="27">
        <f t="shared" si="59"/>
        <v>0</v>
      </c>
      <c r="V129" s="27">
        <f t="shared" ref="V129:BU129" si="60">SUM(V7:V128)</f>
        <v>11810</v>
      </c>
      <c r="W129" s="27">
        <f t="shared" si="60"/>
        <v>703</v>
      </c>
      <c r="X129" s="27">
        <f t="shared" si="60"/>
        <v>4851</v>
      </c>
      <c r="Y129" s="27">
        <f t="shared" si="60"/>
        <v>5231</v>
      </c>
      <c r="Z129" s="27">
        <f t="shared" si="60"/>
        <v>0</v>
      </c>
      <c r="AA129" s="27">
        <f t="shared" si="60"/>
        <v>633</v>
      </c>
      <c r="AB129" s="27">
        <f t="shared" si="60"/>
        <v>0</v>
      </c>
      <c r="AC129" s="27">
        <f t="shared" si="60"/>
        <v>0</v>
      </c>
      <c r="AD129" s="27">
        <f t="shared" si="60"/>
        <v>0</v>
      </c>
      <c r="AE129" s="27">
        <f t="shared" si="60"/>
        <v>500</v>
      </c>
      <c r="AF129" s="27">
        <f t="shared" si="60"/>
        <v>1966</v>
      </c>
      <c r="AG129" s="27">
        <f t="shared" si="60"/>
        <v>1955</v>
      </c>
      <c r="AH129" s="27">
        <f t="shared" si="60"/>
        <v>2122</v>
      </c>
      <c r="AI129" s="27">
        <f t="shared" si="60"/>
        <v>0</v>
      </c>
      <c r="AJ129" s="27">
        <f t="shared" si="60"/>
        <v>4875</v>
      </c>
      <c r="AK129" s="27">
        <f t="shared" si="60"/>
        <v>144833</v>
      </c>
      <c r="AL129" s="27">
        <f t="shared" si="60"/>
        <v>40841</v>
      </c>
      <c r="AM129" s="27">
        <f t="shared" si="60"/>
        <v>11517</v>
      </c>
      <c r="AN129" s="27">
        <f t="shared" si="60"/>
        <v>7116</v>
      </c>
      <c r="AO129" s="27">
        <f t="shared" si="60"/>
        <v>17017</v>
      </c>
      <c r="AP129" s="27">
        <f t="shared" si="60"/>
        <v>26071</v>
      </c>
      <c r="AQ129" s="97">
        <f t="shared" si="60"/>
        <v>14367</v>
      </c>
      <c r="AR129" s="97">
        <f t="shared" si="60"/>
        <v>20866</v>
      </c>
      <c r="AS129" s="27">
        <f t="shared" si="60"/>
        <v>27176</v>
      </c>
      <c r="AT129" s="27">
        <f t="shared" si="60"/>
        <v>8211</v>
      </c>
      <c r="AU129" s="27">
        <f t="shared" si="60"/>
        <v>12962</v>
      </c>
      <c r="AV129" s="27">
        <f t="shared" si="60"/>
        <v>8834</v>
      </c>
      <c r="AW129" s="27">
        <f t="shared" si="60"/>
        <v>34869</v>
      </c>
      <c r="AX129" s="27">
        <f t="shared" si="60"/>
        <v>1916</v>
      </c>
      <c r="AY129" s="27">
        <f t="shared" si="60"/>
        <v>43827</v>
      </c>
      <c r="AZ129" s="27">
        <f t="shared" si="60"/>
        <v>8889</v>
      </c>
      <c r="BA129" s="27">
        <f t="shared" si="60"/>
        <v>2446</v>
      </c>
      <c r="BB129" s="27">
        <f t="shared" si="60"/>
        <v>3976</v>
      </c>
      <c r="BC129" s="27">
        <f t="shared" si="60"/>
        <v>0</v>
      </c>
      <c r="BD129" s="27">
        <f t="shared" si="60"/>
        <v>0</v>
      </c>
      <c r="BE129" s="27">
        <f t="shared" si="60"/>
        <v>77</v>
      </c>
      <c r="BF129" s="97">
        <f t="shared" si="60"/>
        <v>1165</v>
      </c>
      <c r="BG129" s="97">
        <f t="shared" si="60"/>
        <v>390</v>
      </c>
      <c r="BH129" s="27">
        <f t="shared" si="60"/>
        <v>1107</v>
      </c>
      <c r="BI129" s="27">
        <f t="shared" si="60"/>
        <v>4452</v>
      </c>
      <c r="BJ129" s="27">
        <f t="shared" si="60"/>
        <v>421</v>
      </c>
      <c r="BK129" s="27">
        <f t="shared" si="60"/>
        <v>20</v>
      </c>
      <c r="BL129" s="27">
        <f t="shared" si="60"/>
        <v>107</v>
      </c>
      <c r="BM129" s="97">
        <f t="shared" si="60"/>
        <v>1402</v>
      </c>
      <c r="BN129" s="97">
        <f t="shared" si="60"/>
        <v>590</v>
      </c>
      <c r="BO129" s="26">
        <f t="shared" si="60"/>
        <v>17</v>
      </c>
      <c r="BP129" s="26">
        <f t="shared" si="60"/>
        <v>4</v>
      </c>
      <c r="BQ129" s="26">
        <f t="shared" si="60"/>
        <v>3</v>
      </c>
      <c r="BR129" s="26">
        <f t="shared" si="60"/>
        <v>2.5</v>
      </c>
      <c r="BS129" s="26">
        <f t="shared" si="60"/>
        <v>2.25</v>
      </c>
      <c r="BT129" s="26">
        <f t="shared" si="60"/>
        <v>5.25</v>
      </c>
      <c r="BU129" s="26">
        <f t="shared" si="60"/>
        <v>0</v>
      </c>
      <c r="BV129" s="26"/>
      <c r="BW129" s="26"/>
      <c r="BX129" s="26">
        <f t="shared" ref="BX129:CE129" si="61">SUM(BX7:BX128)</f>
        <v>4.08</v>
      </c>
      <c r="BY129" s="26">
        <f t="shared" si="61"/>
        <v>1.3150000000000002</v>
      </c>
      <c r="BZ129" s="26">
        <f t="shared" si="61"/>
        <v>0.69</v>
      </c>
      <c r="CA129" s="26">
        <f t="shared" si="61"/>
        <v>0.6</v>
      </c>
      <c r="CB129" s="26">
        <f t="shared" si="61"/>
        <v>0</v>
      </c>
      <c r="CC129" s="26">
        <f t="shared" si="61"/>
        <v>1.4700000000000002</v>
      </c>
      <c r="CD129" s="26">
        <f t="shared" si="61"/>
        <v>0</v>
      </c>
      <c r="CE129" s="26">
        <f t="shared" si="61"/>
        <v>0</v>
      </c>
      <c r="CF129" s="26"/>
      <c r="CG129" s="26">
        <f t="shared" ref="CG129:CN129" si="62">SUM(CG7:CG128)</f>
        <v>56.550000000000018</v>
      </c>
      <c r="CH129" s="26">
        <f t="shared" si="62"/>
        <v>17.649999999999995</v>
      </c>
      <c r="CI129" s="26">
        <f t="shared" si="62"/>
        <v>0.5</v>
      </c>
      <c r="CJ129" s="26">
        <f t="shared" si="62"/>
        <v>25.051599999999997</v>
      </c>
      <c r="CK129" s="26">
        <f t="shared" si="62"/>
        <v>0.5</v>
      </c>
      <c r="CL129" s="26">
        <f t="shared" si="62"/>
        <v>12.298400000000001</v>
      </c>
      <c r="CM129" s="26">
        <f t="shared" si="62"/>
        <v>0.5</v>
      </c>
      <c r="CN129" s="26">
        <f t="shared" si="62"/>
        <v>8.6</v>
      </c>
      <c r="CO129" s="26"/>
      <c r="CP129" s="26"/>
      <c r="CQ129" s="26">
        <f t="shared" ref="CQ129:CX129" si="63">SUM(CQ7:CQ128)</f>
        <v>509.89999999999986</v>
      </c>
      <c r="CR129" s="26">
        <f t="shared" si="63"/>
        <v>75</v>
      </c>
      <c r="CS129" s="26">
        <f t="shared" si="63"/>
        <v>94.2</v>
      </c>
      <c r="CT129" s="26">
        <f t="shared" si="63"/>
        <v>162.44999999999999</v>
      </c>
      <c r="CU129" s="26">
        <f t="shared" si="63"/>
        <v>59.55</v>
      </c>
      <c r="CV129" s="26">
        <f t="shared" si="63"/>
        <v>141.55000000000001</v>
      </c>
      <c r="CW129" s="26">
        <f t="shared" si="63"/>
        <v>4.5</v>
      </c>
      <c r="CX129" s="26">
        <f t="shared" si="63"/>
        <v>4.2</v>
      </c>
      <c r="CY129" s="26"/>
      <c r="CZ129" s="26">
        <f t="shared" ref="CZ129:DG129" si="64">SUM(CZ7:CZ128)</f>
        <v>28688</v>
      </c>
      <c r="DA129" s="26">
        <f t="shared" si="64"/>
        <v>2200</v>
      </c>
      <c r="DB129" s="26">
        <f t="shared" si="64"/>
        <v>6276</v>
      </c>
      <c r="DC129" s="26">
        <f t="shared" si="64"/>
        <v>11292</v>
      </c>
      <c r="DD129" s="26">
        <f t="shared" si="64"/>
        <v>700</v>
      </c>
      <c r="DE129" s="26">
        <f t="shared" si="64"/>
        <v>8920</v>
      </c>
      <c r="DF129" s="26">
        <f t="shared" si="64"/>
        <v>0</v>
      </c>
      <c r="DG129" s="26">
        <f t="shared" si="64"/>
        <v>0</v>
      </c>
      <c r="DH129" s="26"/>
      <c r="DI129" s="26">
        <f t="shared" ref="DI129:DQ129" si="65">SUM(DI7:DI128)</f>
        <v>224</v>
      </c>
      <c r="DJ129" s="26">
        <f t="shared" si="65"/>
        <v>643</v>
      </c>
      <c r="DK129" s="26">
        <f t="shared" si="65"/>
        <v>321</v>
      </c>
      <c r="DL129" s="26">
        <f t="shared" si="65"/>
        <v>53</v>
      </c>
      <c r="DM129" s="26">
        <f t="shared" si="65"/>
        <v>90</v>
      </c>
      <c r="DN129" s="26">
        <f t="shared" si="65"/>
        <v>45</v>
      </c>
      <c r="DO129" s="26">
        <f t="shared" si="65"/>
        <v>163</v>
      </c>
      <c r="DP129" s="26">
        <f t="shared" si="65"/>
        <v>0</v>
      </c>
      <c r="DQ129" s="26">
        <f t="shared" si="65"/>
        <v>0</v>
      </c>
      <c r="DR129" s="26"/>
      <c r="DS129" s="26">
        <f t="shared" ref="DS129:DY129" si="66">SUM(DS7:DS128)</f>
        <v>0</v>
      </c>
      <c r="DT129" s="26">
        <f t="shared" si="66"/>
        <v>0</v>
      </c>
      <c r="DU129" s="26">
        <f t="shared" si="66"/>
        <v>0</v>
      </c>
      <c r="DV129" s="26">
        <f t="shared" si="66"/>
        <v>0</v>
      </c>
      <c r="DW129" s="26">
        <f t="shared" si="66"/>
        <v>0</v>
      </c>
      <c r="DX129" s="26">
        <f t="shared" si="66"/>
        <v>0</v>
      </c>
      <c r="DY129" s="26">
        <f t="shared" si="66"/>
        <v>0</v>
      </c>
      <c r="DZ129" s="26"/>
      <c r="EA129" s="26">
        <f t="shared" ref="EA129:EH129" si="67">SUM(EA7:EA128)</f>
        <v>4.5</v>
      </c>
      <c r="EB129" s="26">
        <f t="shared" si="67"/>
        <v>1</v>
      </c>
      <c r="EC129" s="26">
        <f t="shared" si="67"/>
        <v>0</v>
      </c>
      <c r="ED129" s="26">
        <f t="shared" si="67"/>
        <v>0</v>
      </c>
      <c r="EE129" s="26">
        <f t="shared" si="67"/>
        <v>0</v>
      </c>
      <c r="EF129" s="26">
        <f t="shared" si="67"/>
        <v>3.5</v>
      </c>
      <c r="EG129" s="26">
        <f t="shared" si="67"/>
        <v>0</v>
      </c>
      <c r="EH129" s="26">
        <f t="shared" si="67"/>
        <v>0</v>
      </c>
      <c r="EI129" s="26"/>
      <c r="EJ129" s="26">
        <f t="shared" ref="EJ129:EQ129" si="68">SUM(EJ7:EJ128)</f>
        <v>146.85999999999996</v>
      </c>
      <c r="EK129" s="26">
        <f t="shared" si="68"/>
        <v>18.299999999999997</v>
      </c>
      <c r="EL129" s="26">
        <f t="shared" si="68"/>
        <v>49.16</v>
      </c>
      <c r="EM129" s="26">
        <f t="shared" si="68"/>
        <v>23.206700000000009</v>
      </c>
      <c r="EN129" s="26">
        <f t="shared" si="68"/>
        <v>4.6500000000000004</v>
      </c>
      <c r="EO129" s="26">
        <f t="shared" si="68"/>
        <v>23.3933</v>
      </c>
      <c r="EP129" s="26">
        <f t="shared" si="68"/>
        <v>18.8</v>
      </c>
      <c r="EQ129" s="26">
        <f t="shared" si="68"/>
        <v>20.800000000000004</v>
      </c>
      <c r="ER129" s="26"/>
      <c r="ES129" s="26">
        <f t="shared" ref="ES129:EZ129" si="69">SUM(ES7:ES128)</f>
        <v>5.49</v>
      </c>
      <c r="ET129" s="26">
        <f t="shared" si="69"/>
        <v>0.9</v>
      </c>
      <c r="EU129" s="26">
        <f t="shared" si="69"/>
        <v>0</v>
      </c>
      <c r="EV129" s="26">
        <f t="shared" si="69"/>
        <v>0.40239999999999992</v>
      </c>
      <c r="EW129" s="26">
        <f t="shared" si="69"/>
        <v>0.02</v>
      </c>
      <c r="EX129" s="26">
        <f t="shared" si="69"/>
        <v>4.1679999999999993</v>
      </c>
      <c r="EY129" s="26">
        <f t="shared" si="69"/>
        <v>0</v>
      </c>
      <c r="EZ129" s="26">
        <f t="shared" si="69"/>
        <v>0</v>
      </c>
      <c r="FA129" s="26"/>
      <c r="FB129" s="26">
        <f t="shared" ref="FB129:FI129" si="70">SUM(FB7:FB128)</f>
        <v>3</v>
      </c>
      <c r="FC129" s="26">
        <f t="shared" si="70"/>
        <v>3</v>
      </c>
      <c r="FD129" s="26">
        <f t="shared" si="70"/>
        <v>0</v>
      </c>
      <c r="FE129" s="26">
        <f t="shared" si="70"/>
        <v>0</v>
      </c>
      <c r="FF129" s="26">
        <f t="shared" si="70"/>
        <v>3</v>
      </c>
      <c r="FG129" s="26">
        <f t="shared" si="70"/>
        <v>2</v>
      </c>
      <c r="FH129" s="26">
        <f t="shared" si="70"/>
        <v>0</v>
      </c>
      <c r="FI129" s="26">
        <f t="shared" si="70"/>
        <v>0</v>
      </c>
      <c r="FJ129" s="26"/>
      <c r="FK129" s="26">
        <f t="shared" ref="FK129:FR129" si="71">SUM(FK7:FK128)</f>
        <v>22200</v>
      </c>
      <c r="FL129" s="26">
        <f t="shared" si="71"/>
        <v>3670</v>
      </c>
      <c r="FM129" s="26">
        <f t="shared" si="71"/>
        <v>2350</v>
      </c>
      <c r="FN129" s="26">
        <f t="shared" si="71"/>
        <v>4300</v>
      </c>
      <c r="FO129" s="26">
        <f t="shared" si="71"/>
        <v>800</v>
      </c>
      <c r="FP129" s="26">
        <f t="shared" si="71"/>
        <v>11080</v>
      </c>
      <c r="FQ129" s="26">
        <f t="shared" si="71"/>
        <v>200</v>
      </c>
      <c r="FR129" s="26">
        <f t="shared" si="71"/>
        <v>0</v>
      </c>
      <c r="FS129" s="26"/>
      <c r="FT129" s="26">
        <f t="shared" ref="FT129:FZ129" si="72">SUM(FT7:FT128)</f>
        <v>33</v>
      </c>
      <c r="FU129" s="26">
        <f t="shared" si="72"/>
        <v>7</v>
      </c>
      <c r="FV129" s="26">
        <f t="shared" si="72"/>
        <v>33</v>
      </c>
      <c r="FW129" s="26">
        <f t="shared" si="72"/>
        <v>5</v>
      </c>
      <c r="FX129" s="26">
        <f t="shared" si="72"/>
        <v>13</v>
      </c>
      <c r="FY129" s="26">
        <f t="shared" si="72"/>
        <v>1</v>
      </c>
      <c r="FZ129" s="26">
        <f t="shared" si="72"/>
        <v>3</v>
      </c>
      <c r="GA129" s="26"/>
      <c r="GB129" s="26">
        <f t="shared" ref="GB129:GI129" si="73">SUM(GB7:GB128)</f>
        <v>3.8</v>
      </c>
      <c r="GC129" s="26">
        <f t="shared" si="73"/>
        <v>0</v>
      </c>
      <c r="GD129" s="26">
        <f t="shared" si="73"/>
        <v>0.5</v>
      </c>
      <c r="GE129" s="26">
        <f t="shared" si="73"/>
        <v>1.7550000000000001</v>
      </c>
      <c r="GF129" s="26">
        <f t="shared" si="73"/>
        <v>0</v>
      </c>
      <c r="GG129" s="26">
        <f t="shared" si="73"/>
        <v>1.5449999999999999</v>
      </c>
      <c r="GH129" s="26">
        <f t="shared" si="73"/>
        <v>0</v>
      </c>
      <c r="GI129" s="26">
        <f t="shared" si="73"/>
        <v>0</v>
      </c>
      <c r="GJ129" s="26"/>
      <c r="GK129" s="26">
        <f t="shared" ref="GK129:GR129" si="74">SUM(GK7:GK128)</f>
        <v>1</v>
      </c>
      <c r="GL129" s="26">
        <f t="shared" si="74"/>
        <v>0</v>
      </c>
      <c r="GM129" s="26">
        <f t="shared" si="74"/>
        <v>0</v>
      </c>
      <c r="GN129" s="26">
        <f t="shared" si="74"/>
        <v>0.03</v>
      </c>
      <c r="GO129" s="26">
        <f t="shared" si="74"/>
        <v>0</v>
      </c>
      <c r="GP129" s="26">
        <f t="shared" si="74"/>
        <v>0.97</v>
      </c>
      <c r="GQ129" s="26">
        <f t="shared" si="74"/>
        <v>0</v>
      </c>
      <c r="GR129" s="26">
        <f t="shared" si="74"/>
        <v>0</v>
      </c>
      <c r="GS129" s="26"/>
      <c r="GT129" s="26">
        <f t="shared" ref="GT129:HA129" si="75">SUM(GT7:GT128)</f>
        <v>3.21</v>
      </c>
      <c r="GU129" s="26">
        <f t="shared" si="75"/>
        <v>1.4</v>
      </c>
      <c r="GV129" s="26">
        <f t="shared" si="75"/>
        <v>0.9</v>
      </c>
      <c r="GW129" s="26">
        <f t="shared" si="75"/>
        <v>0.37</v>
      </c>
      <c r="GX129" s="26">
        <f t="shared" si="75"/>
        <v>0.5</v>
      </c>
      <c r="GY129" s="26">
        <f t="shared" si="75"/>
        <v>0.04</v>
      </c>
      <c r="GZ129" s="26">
        <f t="shared" si="75"/>
        <v>0</v>
      </c>
      <c r="HA129" s="26">
        <f t="shared" si="75"/>
        <v>0</v>
      </c>
      <c r="HB129" s="26"/>
      <c r="HC129" s="26">
        <f t="shared" ref="HC129:HJ129" si="76">SUM(HC7:HC128)</f>
        <v>3</v>
      </c>
      <c r="HD129" s="26">
        <f t="shared" si="76"/>
        <v>1</v>
      </c>
      <c r="HE129" s="26">
        <f t="shared" si="76"/>
        <v>0</v>
      </c>
      <c r="HF129" s="26">
        <f t="shared" si="76"/>
        <v>1</v>
      </c>
      <c r="HG129" s="26">
        <f t="shared" si="76"/>
        <v>0</v>
      </c>
      <c r="HH129" s="26">
        <f t="shared" si="76"/>
        <v>1</v>
      </c>
      <c r="HI129" s="26">
        <f t="shared" si="76"/>
        <v>1</v>
      </c>
      <c r="HJ129" s="26">
        <f t="shared" si="76"/>
        <v>0</v>
      </c>
      <c r="HK129" s="26"/>
      <c r="HL129" s="26">
        <f t="shared" ref="HL129:HS129" si="77">SUM(HL7:HL128)</f>
        <v>29</v>
      </c>
      <c r="HM129" s="26">
        <f t="shared" si="77"/>
        <v>0</v>
      </c>
      <c r="HN129" s="26">
        <f t="shared" si="77"/>
        <v>2.5</v>
      </c>
      <c r="HO129" s="26">
        <f t="shared" si="77"/>
        <v>6.5</v>
      </c>
      <c r="HP129" s="26">
        <f t="shared" si="77"/>
        <v>3.5</v>
      </c>
      <c r="HQ129" s="26">
        <f t="shared" si="77"/>
        <v>7.5</v>
      </c>
      <c r="HR129" s="26">
        <f t="shared" si="77"/>
        <v>3</v>
      </c>
      <c r="HS129" s="26">
        <f t="shared" si="77"/>
        <v>6</v>
      </c>
      <c r="HT129" s="26"/>
      <c r="HU129" s="26">
        <f t="shared" ref="HU129:IB129" si="78">SUM(HU7:HU128)</f>
        <v>7</v>
      </c>
      <c r="HV129" s="26">
        <f t="shared" si="78"/>
        <v>0</v>
      </c>
      <c r="HW129" s="26">
        <f t="shared" si="78"/>
        <v>0</v>
      </c>
      <c r="HX129" s="26">
        <f t="shared" si="78"/>
        <v>6</v>
      </c>
      <c r="HY129" s="26">
        <f t="shared" si="78"/>
        <v>1</v>
      </c>
      <c r="HZ129" s="26">
        <f t="shared" si="78"/>
        <v>0</v>
      </c>
      <c r="IA129" s="26">
        <f t="shared" si="78"/>
        <v>0</v>
      </c>
      <c r="IB129" s="26">
        <f t="shared" si="78"/>
        <v>0</v>
      </c>
      <c r="IC129" s="26"/>
      <c r="ID129" s="26">
        <f>SUM(ID7:ID128)</f>
        <v>9</v>
      </c>
      <c r="IE129" s="67"/>
      <c r="IF129" s="26">
        <f t="shared" ref="IF129:IM129" si="79">SUM(IF7:IF128)</f>
        <v>68.640000000000029</v>
      </c>
      <c r="IG129" s="26">
        <f t="shared" si="79"/>
        <v>20.364999999999998</v>
      </c>
      <c r="IH129" s="26">
        <f t="shared" si="79"/>
        <v>2.5900000000000003</v>
      </c>
      <c r="II129" s="26">
        <f t="shared" si="79"/>
        <v>27.8066</v>
      </c>
      <c r="IJ129" s="26">
        <f t="shared" si="79"/>
        <v>1</v>
      </c>
      <c r="IK129" s="26">
        <f t="shared" si="79"/>
        <v>16.323399999999999</v>
      </c>
      <c r="IL129" s="26">
        <f t="shared" si="79"/>
        <v>0.5</v>
      </c>
      <c r="IM129" s="26">
        <f t="shared" si="79"/>
        <v>8.6</v>
      </c>
      <c r="IN129" s="26">
        <f t="shared" ref="IN129:IU129" si="80">SUM(IN7:IN128)</f>
        <v>666.75000000000011</v>
      </c>
      <c r="IO129" s="26">
        <f t="shared" si="80"/>
        <v>95.199999999999989</v>
      </c>
      <c r="IP129" s="26">
        <f t="shared" si="80"/>
        <v>143.36000000000004</v>
      </c>
      <c r="IQ129" s="26">
        <f t="shared" si="80"/>
        <v>186.05909999999997</v>
      </c>
      <c r="IR129" s="26">
        <f t="shared" si="80"/>
        <v>64.220000000000013</v>
      </c>
      <c r="IS129" s="26">
        <f t="shared" si="80"/>
        <v>172.61129999999991</v>
      </c>
      <c r="IT129" s="26">
        <f t="shared" si="80"/>
        <v>23.3</v>
      </c>
      <c r="IU129" s="26">
        <f t="shared" si="80"/>
        <v>25.000000000000004</v>
      </c>
      <c r="IV129" s="26">
        <f>SUM(IV7:IV128)</f>
        <v>698.65999999999974</v>
      </c>
      <c r="IW129" s="27"/>
      <c r="IX129" s="28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  <c r="KZ129" s="24"/>
      <c r="LA129" s="24"/>
      <c r="LB129" s="24"/>
      <c r="LC129" s="24"/>
      <c r="LD129" s="24"/>
      <c r="LE129" s="24"/>
      <c r="LF129" s="24"/>
      <c r="LG129" s="24"/>
      <c r="LH129" s="24"/>
      <c r="LI129" s="24"/>
      <c r="LJ129" s="24"/>
      <c r="LK129" s="24"/>
      <c r="LL129" s="24"/>
      <c r="LM129" s="24"/>
      <c r="LN129" s="24"/>
      <c r="LO129" s="24"/>
      <c r="LP129" s="24"/>
      <c r="LQ129" s="24"/>
      <c r="LR129" s="24"/>
      <c r="LS129" s="24"/>
      <c r="LT129" s="24"/>
    </row>
    <row r="130" spans="1:332">
      <c r="A130" s="5"/>
      <c r="B130" s="5"/>
      <c r="C130" s="5"/>
      <c r="D130" s="5"/>
      <c r="E130" s="29"/>
      <c r="F130" s="2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98"/>
      <c r="AR130" s="98"/>
      <c r="AS130" s="30"/>
      <c r="AT130" s="30"/>
      <c r="AU130" s="30"/>
      <c r="AV130" s="30"/>
      <c r="AW130" s="30"/>
      <c r="AX130" s="98"/>
      <c r="AY130" s="98"/>
      <c r="AZ130" s="30"/>
      <c r="BA130" s="30"/>
      <c r="BB130" s="30"/>
      <c r="BC130" s="30"/>
      <c r="BD130" s="30"/>
      <c r="BE130" s="30"/>
      <c r="BF130" s="98"/>
      <c r="BG130" s="98"/>
      <c r="BH130" s="30"/>
      <c r="BI130" s="30"/>
      <c r="BJ130" s="30"/>
      <c r="BK130" s="30"/>
      <c r="BL130" s="30"/>
      <c r="BM130" s="98"/>
      <c r="BN130" s="98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0"/>
      <c r="CQ130" s="31"/>
      <c r="CR130" s="31"/>
      <c r="CS130" s="31"/>
      <c r="CT130" s="31"/>
      <c r="CU130" s="31"/>
      <c r="CV130" s="31"/>
      <c r="CW130" s="31"/>
      <c r="CX130" s="31"/>
      <c r="CY130" s="30"/>
      <c r="CZ130" s="31"/>
      <c r="DA130" s="30"/>
      <c r="DB130" s="30"/>
      <c r="DC130" s="30"/>
      <c r="DD130" s="30"/>
      <c r="DE130" s="30"/>
      <c r="DF130" s="30"/>
      <c r="DG130" s="30"/>
      <c r="DH130" s="30"/>
      <c r="DI130" s="31"/>
      <c r="DJ130" s="31"/>
      <c r="DK130" s="31"/>
      <c r="DL130" s="31"/>
      <c r="DM130" s="31"/>
      <c r="DN130" s="31"/>
      <c r="DO130" s="31"/>
      <c r="DP130" s="31"/>
      <c r="DQ130" s="31"/>
      <c r="DR130" s="30"/>
      <c r="DS130" s="31"/>
      <c r="DT130" s="31"/>
      <c r="DU130" s="31"/>
      <c r="DV130" s="31"/>
      <c r="DW130" s="31"/>
      <c r="DX130" s="31"/>
      <c r="DY130" s="31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1"/>
      <c r="EK130" s="31"/>
      <c r="EL130" s="31"/>
      <c r="EM130" s="31"/>
      <c r="EN130" s="31"/>
      <c r="EO130" s="31"/>
      <c r="EP130" s="31"/>
      <c r="EQ130" s="31"/>
      <c r="ER130" s="30"/>
      <c r="ES130" s="31"/>
      <c r="ET130" s="30"/>
      <c r="EU130" s="30"/>
      <c r="EV130" s="30"/>
      <c r="EW130" s="30"/>
      <c r="EX130" s="30"/>
      <c r="EY130" s="30"/>
      <c r="EZ130" s="30"/>
      <c r="FA130" s="30"/>
      <c r="FB130" s="31"/>
      <c r="FC130" s="30"/>
      <c r="FD130" s="30"/>
      <c r="FE130" s="30"/>
      <c r="FF130" s="30"/>
      <c r="FG130" s="30"/>
      <c r="FH130" s="30"/>
      <c r="FI130" s="30"/>
      <c r="FJ130" s="30"/>
      <c r="FK130" s="31"/>
      <c r="FL130" s="30"/>
      <c r="FM130" s="30"/>
      <c r="FN130" s="30"/>
      <c r="FO130" s="30"/>
      <c r="FP130" s="30"/>
      <c r="FQ130" s="30"/>
      <c r="FR130" s="30"/>
      <c r="FS130" s="30"/>
      <c r="FT130" s="31"/>
      <c r="FU130" s="31"/>
      <c r="FV130" s="31"/>
      <c r="FW130" s="31"/>
      <c r="FX130" s="31"/>
      <c r="FY130" s="31"/>
      <c r="FZ130" s="31"/>
      <c r="GA130" s="30"/>
      <c r="GB130" s="31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30"/>
      <c r="GX130" s="30"/>
      <c r="GY130" s="30"/>
      <c r="GZ130" s="30"/>
      <c r="HA130" s="30"/>
      <c r="HB130" s="30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2"/>
      <c r="IF130" s="30"/>
      <c r="IG130" s="30"/>
      <c r="IH130" s="30"/>
      <c r="II130" s="30"/>
      <c r="IJ130" s="30"/>
      <c r="IK130" s="5"/>
      <c r="IL130" s="5"/>
      <c r="IM130" s="5"/>
      <c r="IN130" s="33"/>
      <c r="IO130" s="33"/>
      <c r="IP130" s="33"/>
      <c r="IQ130" s="33"/>
      <c r="IR130" s="33"/>
      <c r="IS130" s="33"/>
      <c r="IT130" s="33"/>
      <c r="IU130" s="33"/>
      <c r="IV130" s="30"/>
      <c r="IW130" s="31"/>
      <c r="IX130" s="30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</row>
    <row r="131" spans="1:33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99"/>
      <c r="AR131" s="99"/>
      <c r="AS131" s="5"/>
      <c r="AT131" s="5"/>
      <c r="AU131" s="5"/>
      <c r="AV131" s="5"/>
      <c r="AW131" s="5"/>
      <c r="AX131" s="99"/>
      <c r="AY131" s="99"/>
      <c r="AZ131" s="5"/>
      <c r="BA131" s="5"/>
      <c r="BB131" s="5"/>
      <c r="BC131" s="5"/>
      <c r="BD131" s="5"/>
      <c r="BE131" s="5"/>
      <c r="BF131" s="99"/>
      <c r="BG131" s="99"/>
      <c r="BH131" s="5"/>
      <c r="BI131" s="5"/>
      <c r="BJ131" s="5"/>
      <c r="BK131" s="5"/>
      <c r="BL131" s="5"/>
      <c r="BM131" s="99"/>
      <c r="BN131" s="99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5"/>
      <c r="CQ131" s="16"/>
      <c r="CR131" s="16"/>
      <c r="CS131" s="16"/>
      <c r="CT131" s="16"/>
      <c r="CU131" s="16"/>
      <c r="CV131" s="16"/>
      <c r="CW131" s="16"/>
      <c r="CX131" s="16"/>
      <c r="CY131" s="5"/>
      <c r="CZ131" s="16"/>
      <c r="DA131" s="5"/>
      <c r="DB131" s="5"/>
      <c r="DC131" s="5"/>
      <c r="DD131" s="5"/>
      <c r="DE131" s="5"/>
      <c r="DF131" s="5"/>
      <c r="DG131" s="5"/>
      <c r="DH131" s="5"/>
      <c r="DI131" s="16"/>
      <c r="DJ131" s="16"/>
      <c r="DK131" s="16"/>
      <c r="DL131" s="16"/>
      <c r="DM131" s="16"/>
      <c r="DN131" s="16"/>
      <c r="DO131" s="16"/>
      <c r="DP131" s="16"/>
      <c r="DQ131" s="16"/>
      <c r="DR131" s="5"/>
      <c r="DS131" s="16"/>
      <c r="DT131" s="16"/>
      <c r="DU131" s="16"/>
      <c r="DV131" s="16"/>
      <c r="DW131" s="16"/>
      <c r="DX131" s="16"/>
      <c r="DY131" s="16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90"/>
      <c r="EK131" s="90">
        <f>SUM(EK129:EQ129)</f>
        <v>158.31000000000003</v>
      </c>
      <c r="EL131" s="16"/>
      <c r="EM131" s="16"/>
      <c r="EN131" s="90"/>
      <c r="EO131" s="16"/>
      <c r="EP131" s="16"/>
      <c r="EQ131" s="16"/>
      <c r="ER131" s="5"/>
      <c r="ES131" s="16"/>
      <c r="ET131" s="5"/>
      <c r="EU131" s="5"/>
      <c r="EV131" s="5"/>
      <c r="EW131" s="5"/>
      <c r="EX131" s="5"/>
      <c r="EY131" s="5"/>
      <c r="EZ131" s="5"/>
      <c r="FA131" s="5"/>
      <c r="FB131" s="16"/>
      <c r="FC131" s="5"/>
      <c r="FD131" s="5"/>
      <c r="FE131" s="5"/>
      <c r="FF131" s="5"/>
      <c r="FG131" s="5"/>
      <c r="FH131" s="5"/>
      <c r="FI131" s="5"/>
      <c r="FJ131" s="5"/>
      <c r="FK131" s="16"/>
      <c r="FL131" s="5"/>
      <c r="FM131" s="5"/>
      <c r="FN131" s="5"/>
      <c r="FO131" s="5"/>
      <c r="FP131" s="5"/>
      <c r="FQ131" s="5"/>
      <c r="FR131" s="5"/>
      <c r="FS131" s="5"/>
      <c r="FT131" s="16"/>
      <c r="FU131" s="16"/>
      <c r="FV131" s="16"/>
      <c r="FW131" s="16"/>
      <c r="FX131" s="16"/>
      <c r="FY131" s="16"/>
      <c r="FZ131" s="16"/>
      <c r="GA131" s="5"/>
      <c r="GB131" s="16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9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16"/>
      <c r="IX131" s="5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</row>
    <row r="132" spans="1:3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88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99"/>
      <c r="AR132" s="99"/>
      <c r="AS132" s="5"/>
      <c r="AT132" s="5"/>
      <c r="AU132" s="5"/>
      <c r="AV132" s="5"/>
      <c r="AW132" s="5"/>
      <c r="AX132" s="99"/>
      <c r="AY132" s="99"/>
      <c r="AZ132" s="5"/>
      <c r="BA132" s="5"/>
      <c r="BB132" s="5"/>
      <c r="BC132" s="5"/>
      <c r="BD132" s="5"/>
      <c r="BE132" s="5"/>
      <c r="BF132" s="99"/>
      <c r="BG132" s="99"/>
      <c r="BH132" s="5"/>
      <c r="BI132" s="5"/>
      <c r="BJ132" s="5"/>
      <c r="BK132" s="5"/>
      <c r="BL132" s="5"/>
      <c r="BM132" s="99"/>
      <c r="BN132" s="99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5"/>
      <c r="CQ132" s="16"/>
      <c r="CR132" s="90"/>
      <c r="CS132" s="16"/>
      <c r="CT132" s="16"/>
      <c r="CU132" s="16"/>
      <c r="CV132" s="16"/>
      <c r="CW132" s="16"/>
      <c r="CX132" s="16"/>
      <c r="CY132" s="5"/>
      <c r="CZ132" s="16"/>
      <c r="DA132" s="5"/>
      <c r="DB132" s="5"/>
      <c r="DC132" s="5"/>
      <c r="DD132" s="5"/>
      <c r="DE132" s="5"/>
      <c r="DF132" s="5"/>
      <c r="DG132" s="5"/>
      <c r="DH132" s="5"/>
      <c r="DI132" s="16"/>
      <c r="DJ132" s="16"/>
      <c r="DK132" s="16"/>
      <c r="DL132" s="16"/>
      <c r="DM132" s="16"/>
      <c r="DN132" s="16"/>
      <c r="DO132" s="16"/>
      <c r="DP132" s="16"/>
      <c r="DQ132" s="16"/>
      <c r="DR132" s="5"/>
      <c r="DS132" s="16"/>
      <c r="DT132" s="16"/>
      <c r="DU132" s="16"/>
      <c r="DV132" s="16"/>
      <c r="DW132" s="16"/>
      <c r="DX132" s="16"/>
      <c r="DY132" s="16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16"/>
      <c r="EK132" s="16">
        <v>4.5</v>
      </c>
      <c r="EL132" s="16"/>
      <c r="EM132" s="16"/>
      <c r="EN132" s="16"/>
      <c r="EO132" s="16"/>
      <c r="EP132" s="16"/>
      <c r="EQ132" s="16"/>
      <c r="ER132" s="5"/>
      <c r="ES132" s="16"/>
      <c r="ET132" s="5"/>
      <c r="EU132" s="5"/>
      <c r="EV132" s="5"/>
      <c r="EW132" s="5"/>
      <c r="EX132" s="5"/>
      <c r="EY132" s="5"/>
      <c r="EZ132" s="5"/>
      <c r="FA132" s="5"/>
      <c r="FB132" s="16"/>
      <c r="FC132" s="5"/>
      <c r="FD132" s="5"/>
      <c r="FE132" s="5"/>
      <c r="FF132" s="5"/>
      <c r="FG132" s="5"/>
      <c r="FH132" s="5"/>
      <c r="FI132" s="5"/>
      <c r="FJ132" s="5"/>
      <c r="FK132" s="16"/>
      <c r="FL132" s="5"/>
      <c r="FM132" s="91"/>
      <c r="FN132" s="5"/>
      <c r="FO132" s="5"/>
      <c r="FP132" s="5"/>
      <c r="FQ132" s="5"/>
      <c r="FR132" s="5"/>
      <c r="FS132" s="5"/>
      <c r="FT132" s="16"/>
      <c r="FU132" s="16"/>
      <c r="FV132" s="16"/>
      <c r="FW132" s="16"/>
      <c r="FX132" s="16"/>
      <c r="FY132" s="16"/>
      <c r="FZ132" s="16"/>
      <c r="GA132" s="5"/>
      <c r="GB132" s="16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9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16"/>
      <c r="IX132" s="5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</row>
    <row r="133" spans="1:332">
      <c r="A133" s="5"/>
      <c r="B133" s="5"/>
      <c r="C133" s="5"/>
      <c r="D133" s="5"/>
      <c r="E133" s="5"/>
      <c r="F133" s="5"/>
      <c r="G133" s="88"/>
      <c r="H133" s="8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88"/>
      <c r="W133" s="94"/>
      <c r="X133" s="94"/>
      <c r="Y133" s="94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88"/>
      <c r="AM133" s="88"/>
      <c r="AN133" s="5"/>
      <c r="AO133" s="5"/>
      <c r="AP133" s="5"/>
      <c r="AQ133" s="99"/>
      <c r="AR133" s="99"/>
      <c r="AS133" s="5"/>
      <c r="AT133" s="5"/>
      <c r="AU133" s="5"/>
      <c r="AV133" s="5"/>
      <c r="AW133" s="5"/>
      <c r="AX133" s="99"/>
      <c r="AY133" s="99"/>
      <c r="AZ133" s="5"/>
      <c r="BA133" s="5"/>
      <c r="BB133" s="5"/>
      <c r="BC133" s="5"/>
      <c r="BD133" s="5"/>
      <c r="BE133" s="5"/>
      <c r="BF133" s="99"/>
      <c r="BG133" s="99"/>
      <c r="BH133" s="5"/>
      <c r="BI133" s="5"/>
      <c r="BJ133" s="5"/>
      <c r="BK133" s="5"/>
      <c r="BL133" s="5"/>
      <c r="BM133" s="99"/>
      <c r="BN133" s="99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5"/>
      <c r="CQ133" s="16"/>
      <c r="CR133" s="16"/>
      <c r="CS133" s="16"/>
      <c r="CT133" s="16"/>
      <c r="CU133" s="90"/>
      <c r="CV133" s="16"/>
      <c r="CW133" s="16"/>
      <c r="CX133" s="16"/>
      <c r="CY133" s="5"/>
      <c r="CZ133" s="16"/>
      <c r="DA133" s="5"/>
      <c r="DB133" s="5"/>
      <c r="DC133" s="5"/>
      <c r="DD133" s="5"/>
      <c r="DE133" s="5"/>
      <c r="DF133" s="5"/>
      <c r="DG133" s="5"/>
      <c r="DH133" s="5"/>
      <c r="DI133" s="16"/>
      <c r="DJ133" s="16"/>
      <c r="DK133" s="16"/>
      <c r="DL133" s="16"/>
      <c r="DM133" s="16"/>
      <c r="DN133" s="16"/>
      <c r="DO133" s="16"/>
      <c r="DP133" s="16"/>
      <c r="DQ133" s="16"/>
      <c r="DR133" s="5"/>
      <c r="DS133" s="16"/>
      <c r="DT133" s="16"/>
      <c r="DU133" s="16"/>
      <c r="DV133" s="16"/>
      <c r="DW133" s="16"/>
      <c r="DX133" s="16"/>
      <c r="DY133" s="16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16"/>
      <c r="EK133" s="90">
        <f>SUM(EK131:EK132)</f>
        <v>162.81000000000003</v>
      </c>
      <c r="EL133" s="16"/>
      <c r="EM133" s="16"/>
      <c r="EN133" s="16"/>
      <c r="EO133" s="16"/>
      <c r="EP133" s="16"/>
      <c r="EQ133" s="16"/>
      <c r="ER133" s="5"/>
      <c r="ES133" s="16"/>
      <c r="ET133" s="5"/>
      <c r="EU133" s="5"/>
      <c r="EV133" s="5"/>
      <c r="EW133" s="5"/>
      <c r="EX133" s="5"/>
      <c r="EY133" s="5"/>
      <c r="EZ133" s="5"/>
      <c r="FA133" s="5"/>
      <c r="FB133" s="16"/>
      <c r="FC133" s="5"/>
      <c r="FD133" s="5"/>
      <c r="FE133" s="5"/>
      <c r="FF133" s="5"/>
      <c r="FG133" s="5"/>
      <c r="FH133" s="5"/>
      <c r="FI133" s="5"/>
      <c r="FJ133" s="5"/>
      <c r="FK133" s="16"/>
      <c r="FL133" s="5"/>
      <c r="FM133" s="5"/>
      <c r="FN133" s="5"/>
      <c r="FO133" s="5"/>
      <c r="FP133" s="5"/>
      <c r="FQ133" s="5"/>
      <c r="FR133" s="5"/>
      <c r="FS133" s="5"/>
      <c r="FT133" s="16"/>
      <c r="FU133" s="16"/>
      <c r="FV133" s="16"/>
      <c r="FW133" s="16"/>
      <c r="FX133" s="16"/>
      <c r="FY133" s="16"/>
      <c r="FZ133" s="16"/>
      <c r="GA133" s="5"/>
      <c r="GB133" s="16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9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16"/>
      <c r="IX133" s="5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</row>
    <row r="134" spans="1:332">
      <c r="A134" s="5"/>
      <c r="B134" s="5"/>
      <c r="C134" s="5"/>
      <c r="D134" s="5"/>
      <c r="E134" s="5"/>
      <c r="F134" s="5"/>
      <c r="G134" s="88"/>
      <c r="H134" s="5"/>
      <c r="I134" s="8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88"/>
      <c r="X134" s="88"/>
      <c r="Y134" s="88"/>
      <c r="Z134" s="5"/>
      <c r="AA134" s="88"/>
      <c r="AB134" s="88"/>
      <c r="AC134" s="5"/>
      <c r="AD134" s="5"/>
      <c r="AE134" s="5"/>
      <c r="AF134" s="5"/>
      <c r="AG134" s="5"/>
      <c r="AH134" s="5"/>
      <c r="AI134" s="5"/>
      <c r="AJ134" s="5"/>
      <c r="AK134" s="88"/>
      <c r="AL134" s="88"/>
      <c r="AM134" s="5"/>
      <c r="AN134" s="5"/>
      <c r="AO134" s="5"/>
      <c r="AP134" s="5"/>
      <c r="AQ134" s="99"/>
      <c r="AR134" s="99"/>
      <c r="AS134" s="5"/>
      <c r="AT134" s="5"/>
      <c r="AU134" s="5"/>
      <c r="AV134" s="5"/>
      <c r="AW134" s="5"/>
      <c r="AX134" s="99"/>
      <c r="AY134" s="99"/>
      <c r="AZ134" s="5"/>
      <c r="BA134" s="5"/>
      <c r="BB134" s="5"/>
      <c r="BC134" s="5"/>
      <c r="BD134" s="5"/>
      <c r="BE134" s="5"/>
      <c r="BF134" s="99"/>
      <c r="BG134" s="99"/>
      <c r="BH134" s="5"/>
      <c r="BI134" s="5"/>
      <c r="BJ134" s="5"/>
      <c r="BK134" s="5"/>
      <c r="BL134" s="5"/>
      <c r="BM134" s="99"/>
      <c r="BN134" s="99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5"/>
      <c r="CQ134" s="16"/>
      <c r="CR134" s="16"/>
      <c r="CS134" s="16"/>
      <c r="CT134" s="16"/>
      <c r="CU134" s="90"/>
      <c r="CV134" s="16"/>
      <c r="CW134" s="16"/>
      <c r="CX134" s="16"/>
      <c r="CY134" s="5"/>
      <c r="CZ134" s="16"/>
      <c r="DA134" s="5"/>
      <c r="DB134" s="5"/>
      <c r="DC134" s="5"/>
      <c r="DD134" s="5"/>
      <c r="DE134" s="5"/>
      <c r="DF134" s="5"/>
      <c r="DG134" s="5"/>
      <c r="DH134" s="5"/>
      <c r="DI134" s="16"/>
      <c r="DJ134" s="16"/>
      <c r="DK134" s="16"/>
      <c r="DL134" s="16"/>
      <c r="DM134" s="16"/>
      <c r="DN134" s="16"/>
      <c r="DO134" s="16"/>
      <c r="DP134" s="16"/>
      <c r="DQ134" s="16"/>
      <c r="DR134" s="5"/>
      <c r="DS134" s="16"/>
      <c r="DT134" s="16"/>
      <c r="DU134" s="16"/>
      <c r="DV134" s="16"/>
      <c r="DW134" s="16"/>
      <c r="DX134" s="16"/>
      <c r="DY134" s="16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16"/>
      <c r="EK134" s="16">
        <v>75.400000000000006</v>
      </c>
      <c r="EL134" s="16"/>
      <c r="EM134" s="16"/>
      <c r="EN134" s="16"/>
      <c r="EO134" s="16"/>
      <c r="EP134" s="16"/>
      <c r="EQ134" s="16"/>
      <c r="ER134" s="5"/>
      <c r="ES134" s="16"/>
      <c r="ET134" s="5"/>
      <c r="EU134" s="5"/>
      <c r="EV134" s="5"/>
      <c r="EW134" s="5"/>
      <c r="EX134" s="5"/>
      <c r="EY134" s="5"/>
      <c r="EZ134" s="5"/>
      <c r="FA134" s="5"/>
      <c r="FB134" s="16"/>
      <c r="FC134" s="5"/>
      <c r="FD134" s="5"/>
      <c r="FE134" s="5"/>
      <c r="FF134" s="5"/>
      <c r="FG134" s="5"/>
      <c r="FH134" s="5"/>
      <c r="FI134" s="5"/>
      <c r="FJ134" s="5"/>
      <c r="FK134" s="16"/>
      <c r="FL134" s="5"/>
      <c r="FM134" s="5"/>
      <c r="FN134" s="5"/>
      <c r="FO134" s="5"/>
      <c r="FP134" s="5"/>
      <c r="FQ134" s="5"/>
      <c r="FR134" s="5"/>
      <c r="FS134" s="5"/>
      <c r="FT134" s="16"/>
      <c r="FU134" s="16"/>
      <c r="FV134" s="16"/>
      <c r="FW134" s="16"/>
      <c r="FX134" s="16"/>
      <c r="FY134" s="16"/>
      <c r="FZ134" s="16"/>
      <c r="GA134" s="5"/>
      <c r="GB134" s="16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9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16"/>
      <c r="IX134" s="5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</row>
    <row r="135" spans="1:332">
      <c r="A135" s="5"/>
      <c r="B135" s="5"/>
      <c r="C135" s="5"/>
      <c r="D135" s="5"/>
      <c r="E135" s="5"/>
      <c r="F135" s="5"/>
      <c r="G135" s="88"/>
      <c r="H135" s="88"/>
      <c r="I135" s="8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8"/>
      <c r="X135" s="88"/>
      <c r="Y135" s="88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99"/>
      <c r="AR135" s="99"/>
      <c r="AS135" s="5"/>
      <c r="AT135" s="5"/>
      <c r="AU135" s="88"/>
      <c r="AV135" s="5"/>
      <c r="AW135" s="5"/>
      <c r="AX135" s="99"/>
      <c r="AY135" s="99"/>
      <c r="AZ135" s="5"/>
      <c r="BA135" s="5"/>
      <c r="BB135" s="5"/>
      <c r="BC135" s="5"/>
      <c r="BD135" s="5"/>
      <c r="BE135" s="5"/>
      <c r="BF135" s="99"/>
      <c r="BG135" s="99"/>
      <c r="BH135" s="5"/>
      <c r="BI135" s="5"/>
      <c r="BJ135" s="5"/>
      <c r="BK135" s="5"/>
      <c r="BL135" s="5"/>
      <c r="BM135" s="99"/>
      <c r="BN135" s="99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90"/>
      <c r="CI135" s="16"/>
      <c r="CJ135" s="90"/>
      <c r="CK135" s="16"/>
      <c r="CL135" s="16"/>
      <c r="CM135" s="16"/>
      <c r="CN135" s="16"/>
      <c r="CO135" s="16"/>
      <c r="CP135" s="5"/>
      <c r="CQ135" s="16"/>
      <c r="CR135" s="16"/>
      <c r="CS135" s="16"/>
      <c r="CT135" s="16"/>
      <c r="CU135" s="16"/>
      <c r="CV135" s="16"/>
      <c r="CW135" s="16"/>
      <c r="CX135" s="16"/>
      <c r="CY135" s="5"/>
      <c r="CZ135" s="16"/>
      <c r="DA135" s="5"/>
      <c r="DB135" s="5"/>
      <c r="DC135" s="5"/>
      <c r="DD135" s="5"/>
      <c r="DE135" s="5"/>
      <c r="DF135" s="5"/>
      <c r="DG135" s="5"/>
      <c r="DH135" s="5"/>
      <c r="DI135" s="16"/>
      <c r="DJ135" s="16"/>
      <c r="DK135" s="16"/>
      <c r="DL135" s="16"/>
      <c r="DM135" s="16"/>
      <c r="DN135" s="16"/>
      <c r="DO135" s="16"/>
      <c r="DP135" s="16"/>
      <c r="DQ135" s="16"/>
      <c r="DR135" s="5"/>
      <c r="DS135" s="16"/>
      <c r="DT135" s="16"/>
      <c r="DU135" s="16"/>
      <c r="DV135" s="16"/>
      <c r="DW135" s="16"/>
      <c r="DX135" s="16"/>
      <c r="DY135" s="16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16"/>
      <c r="EK135" s="90">
        <f>EK133-EK134</f>
        <v>87.410000000000025</v>
      </c>
      <c r="EL135" s="16"/>
      <c r="EM135" s="16"/>
      <c r="EN135" s="16"/>
      <c r="EO135" s="90"/>
      <c r="EP135" s="90"/>
      <c r="EQ135" s="90"/>
      <c r="ER135" s="5"/>
      <c r="ES135" s="16"/>
      <c r="ET135" s="5"/>
      <c r="EU135" s="5"/>
      <c r="EV135" s="5"/>
      <c r="EW135" s="5"/>
      <c r="EX135" s="5"/>
      <c r="EY135" s="5"/>
      <c r="EZ135" s="5"/>
      <c r="FA135" s="5"/>
      <c r="FB135" s="16"/>
      <c r="FC135" s="5"/>
      <c r="FD135" s="5"/>
      <c r="FE135" s="5"/>
      <c r="FF135" s="5"/>
      <c r="FG135" s="5"/>
      <c r="FH135" s="5"/>
      <c r="FI135" s="5"/>
      <c r="FJ135" s="5"/>
      <c r="FK135" s="16"/>
      <c r="FL135" s="5"/>
      <c r="FM135" s="5"/>
      <c r="FN135" s="5"/>
      <c r="FO135" s="5"/>
      <c r="FP135" s="5"/>
      <c r="FQ135" s="5"/>
      <c r="FR135" s="5"/>
      <c r="FS135" s="5"/>
      <c r="FT135" s="16"/>
      <c r="FU135" s="16"/>
      <c r="FV135" s="16"/>
      <c r="FW135" s="16"/>
      <c r="FX135" s="16"/>
      <c r="FY135" s="16"/>
      <c r="FZ135" s="16"/>
      <c r="GA135" s="5"/>
      <c r="GB135" s="16"/>
      <c r="GC135" s="5"/>
      <c r="GD135" s="5"/>
      <c r="GE135" s="91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9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16"/>
      <c r="IX135" s="5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</row>
    <row r="136" spans="1:332">
      <c r="A136" s="5"/>
      <c r="B136" s="5"/>
      <c r="C136" s="5"/>
      <c r="D136" s="5"/>
      <c r="E136" s="5"/>
      <c r="F136" s="5"/>
      <c r="G136" s="88"/>
      <c r="H136" s="88"/>
      <c r="I136" s="8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88"/>
      <c r="X136" s="88"/>
      <c r="Y136" s="5"/>
      <c r="Z136" s="5"/>
      <c r="AA136" s="88"/>
      <c r="AB136" s="88">
        <f>AB134+AB135</f>
        <v>0</v>
      </c>
      <c r="AC136" s="88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99"/>
      <c r="AR136" s="99"/>
      <c r="AS136" s="5"/>
      <c r="AT136" s="5"/>
      <c r="AU136" s="5"/>
      <c r="AV136" s="5"/>
      <c r="AW136" s="5"/>
      <c r="AX136" s="99"/>
      <c r="AY136" s="99"/>
      <c r="AZ136" s="5"/>
      <c r="BA136" s="5"/>
      <c r="BB136" s="5"/>
      <c r="BC136" s="5"/>
      <c r="BD136" s="5"/>
      <c r="BE136" s="5"/>
      <c r="BF136" s="99"/>
      <c r="BG136" s="99"/>
      <c r="BH136" s="5"/>
      <c r="BI136" s="5"/>
      <c r="BJ136" s="5"/>
      <c r="BK136" s="5"/>
      <c r="BL136" s="5"/>
      <c r="BM136" s="99"/>
      <c r="BN136" s="99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90"/>
      <c r="CK136" s="16"/>
      <c r="CL136" s="16"/>
      <c r="CM136" s="16"/>
      <c r="CN136" s="16"/>
      <c r="CO136" s="16"/>
      <c r="CP136" s="5"/>
      <c r="CQ136" s="16"/>
      <c r="CR136" s="16"/>
      <c r="CS136" s="16"/>
      <c r="CT136" s="16"/>
      <c r="CU136" s="16"/>
      <c r="CV136" s="16"/>
      <c r="CW136" s="16"/>
      <c r="CX136" s="16"/>
      <c r="CY136" s="5"/>
      <c r="CZ136" s="16"/>
      <c r="DA136" s="5"/>
      <c r="DB136" s="5"/>
      <c r="DC136" s="5"/>
      <c r="DD136" s="5"/>
      <c r="DE136" s="5"/>
      <c r="DF136" s="5"/>
      <c r="DG136" s="5"/>
      <c r="DH136" s="5"/>
      <c r="DI136" s="16"/>
      <c r="DJ136" s="16"/>
      <c r="DK136" s="16"/>
      <c r="DL136" s="16"/>
      <c r="DM136" s="16"/>
      <c r="DN136" s="16"/>
      <c r="DO136" s="16"/>
      <c r="DP136" s="16"/>
      <c r="DQ136" s="16"/>
      <c r="DR136" s="5"/>
      <c r="DS136" s="16"/>
      <c r="DT136" s="16"/>
      <c r="DU136" s="16"/>
      <c r="DV136" s="16"/>
      <c r="DW136" s="16"/>
      <c r="DX136" s="16"/>
      <c r="DY136" s="16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16"/>
      <c r="EK136" s="16"/>
      <c r="EL136" s="16"/>
      <c r="EM136" s="16"/>
      <c r="EN136" s="16"/>
      <c r="EO136" s="16"/>
      <c r="EP136" s="16"/>
      <c r="EQ136" s="16"/>
      <c r="ER136" s="5"/>
      <c r="ES136" s="16"/>
      <c r="ET136" s="5"/>
      <c r="EU136" s="5"/>
      <c r="EV136" s="5"/>
      <c r="EW136" s="5"/>
      <c r="EX136" s="5"/>
      <c r="EY136" s="5"/>
      <c r="EZ136" s="5"/>
      <c r="FA136" s="5"/>
      <c r="FB136" s="16"/>
      <c r="FC136" s="5"/>
      <c r="FD136" s="5"/>
      <c r="FE136" s="5"/>
      <c r="FF136" s="5"/>
      <c r="FG136" s="5"/>
      <c r="FH136" s="5"/>
      <c r="FI136" s="5"/>
      <c r="FJ136" s="5"/>
      <c r="FK136" s="16"/>
      <c r="FL136" s="5"/>
      <c r="FM136" s="5"/>
      <c r="FN136" s="5"/>
      <c r="FO136" s="5"/>
      <c r="FP136" s="5"/>
      <c r="FQ136" s="5"/>
      <c r="FR136" s="5"/>
      <c r="FS136" s="5"/>
      <c r="FT136" s="16"/>
      <c r="FU136" s="16"/>
      <c r="FV136" s="16"/>
      <c r="FW136" s="16"/>
      <c r="FX136" s="16"/>
      <c r="FY136" s="16"/>
      <c r="FZ136" s="16"/>
      <c r="GA136" s="5"/>
      <c r="GB136" s="16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9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16"/>
      <c r="IX136" s="5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</row>
    <row r="137" spans="1:332">
      <c r="A137" s="5"/>
      <c r="B137" s="5"/>
      <c r="C137" s="5"/>
      <c r="D137" s="5"/>
      <c r="E137" s="5"/>
      <c r="F137" s="5"/>
      <c r="G137" s="5"/>
      <c r="H137" s="5"/>
      <c r="I137" s="5"/>
      <c r="J137" s="8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99"/>
      <c r="AR137" s="99"/>
      <c r="AS137" s="5"/>
      <c r="AT137" s="5"/>
      <c r="AU137" s="5"/>
      <c r="AV137" s="5"/>
      <c r="AW137" s="5"/>
      <c r="AX137" s="99"/>
      <c r="AY137" s="99"/>
      <c r="AZ137" s="5"/>
      <c r="BA137" s="5"/>
      <c r="BB137" s="5"/>
      <c r="BC137" s="5"/>
      <c r="BD137" s="5"/>
      <c r="BE137" s="5"/>
      <c r="BF137" s="99"/>
      <c r="BG137" s="99"/>
      <c r="BH137" s="5"/>
      <c r="BI137" s="5"/>
      <c r="BJ137" s="5"/>
      <c r="BK137" s="5"/>
      <c r="BL137" s="5"/>
      <c r="BM137" s="99"/>
      <c r="BN137" s="99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5"/>
      <c r="CQ137" s="16"/>
      <c r="CR137" s="16"/>
      <c r="CS137" s="16"/>
      <c r="CT137" s="16"/>
      <c r="CU137" s="16"/>
      <c r="CV137" s="16"/>
      <c r="CW137" s="16"/>
      <c r="CX137" s="16"/>
      <c r="CY137" s="5"/>
      <c r="CZ137" s="16"/>
      <c r="DA137" s="5"/>
      <c r="DB137" s="5"/>
      <c r="DC137" s="5"/>
      <c r="DD137" s="5"/>
      <c r="DE137" s="5"/>
      <c r="DF137" s="5"/>
      <c r="DG137" s="5"/>
      <c r="DH137" s="5"/>
      <c r="DI137" s="16"/>
      <c r="DJ137" s="16"/>
      <c r="DK137" s="16"/>
      <c r="DL137" s="16"/>
      <c r="DM137" s="16"/>
      <c r="DN137" s="16"/>
      <c r="DO137" s="16"/>
      <c r="DP137" s="16"/>
      <c r="DQ137" s="16"/>
      <c r="DR137" s="5"/>
      <c r="DS137" s="16"/>
      <c r="DT137" s="16"/>
      <c r="DU137" s="16"/>
      <c r="DV137" s="16"/>
      <c r="DW137" s="16"/>
      <c r="DX137" s="16"/>
      <c r="DY137" s="16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16"/>
      <c r="EK137" s="16"/>
      <c r="EL137" s="16"/>
      <c r="EM137" s="16"/>
      <c r="EN137" s="16"/>
      <c r="EO137" s="16"/>
      <c r="EP137" s="16"/>
      <c r="EQ137" s="16"/>
      <c r="ER137" s="5"/>
      <c r="ES137" s="16"/>
      <c r="ET137" s="5"/>
      <c r="EU137" s="5"/>
      <c r="EV137" s="5"/>
      <c r="EW137" s="5"/>
      <c r="EX137" s="5"/>
      <c r="EY137" s="5"/>
      <c r="EZ137" s="5"/>
      <c r="FA137" s="5"/>
      <c r="FB137" s="16"/>
      <c r="FC137" s="5"/>
      <c r="FD137" s="5"/>
      <c r="FE137" s="5"/>
      <c r="FF137" s="5"/>
      <c r="FG137" s="5"/>
      <c r="FH137" s="5"/>
      <c r="FI137" s="5"/>
      <c r="FJ137" s="5"/>
      <c r="FK137" s="16"/>
      <c r="FL137" s="5"/>
      <c r="FM137" s="5"/>
      <c r="FN137" s="5"/>
      <c r="FO137" s="5"/>
      <c r="FP137" s="5"/>
      <c r="FQ137" s="5"/>
      <c r="FR137" s="5"/>
      <c r="FS137" s="5"/>
      <c r="FT137" s="16"/>
      <c r="FU137" s="16"/>
      <c r="FV137" s="16"/>
      <c r="FW137" s="16"/>
      <c r="FX137" s="16"/>
      <c r="FY137" s="16"/>
      <c r="FZ137" s="16"/>
      <c r="GA137" s="5"/>
      <c r="GB137" s="16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9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16"/>
      <c r="IX137" s="5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</row>
    <row r="138" spans="1:33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99"/>
      <c r="AR138" s="99"/>
      <c r="AS138" s="5"/>
      <c r="AT138" s="5"/>
      <c r="AU138" s="5"/>
      <c r="AV138" s="5"/>
      <c r="AW138" s="5"/>
      <c r="AX138" s="99"/>
      <c r="AY138" s="99"/>
      <c r="AZ138" s="5"/>
      <c r="BA138" s="5"/>
      <c r="BB138" s="5"/>
      <c r="BC138" s="5"/>
      <c r="BD138" s="5"/>
      <c r="BE138" s="5"/>
      <c r="BF138" s="99"/>
      <c r="BG138" s="99"/>
      <c r="BH138" s="5"/>
      <c r="BI138" s="5"/>
      <c r="BJ138" s="5"/>
      <c r="BK138" s="5"/>
      <c r="BL138" s="5"/>
      <c r="BM138" s="99"/>
      <c r="BN138" s="99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5"/>
      <c r="CQ138" s="16"/>
      <c r="CR138" s="16"/>
      <c r="CS138" s="16"/>
      <c r="CT138" s="16"/>
      <c r="CU138" s="16"/>
      <c r="CV138" s="16"/>
      <c r="CW138" s="16"/>
      <c r="CX138" s="16"/>
      <c r="CY138" s="5"/>
      <c r="CZ138" s="16"/>
      <c r="DA138" s="5"/>
      <c r="DB138" s="5"/>
      <c r="DC138" s="5"/>
      <c r="DD138" s="5"/>
      <c r="DE138" s="5"/>
      <c r="DF138" s="5"/>
      <c r="DG138" s="5"/>
      <c r="DH138" s="5"/>
      <c r="DI138" s="16"/>
      <c r="DJ138" s="16"/>
      <c r="DK138" s="16"/>
      <c r="DL138" s="16"/>
      <c r="DM138" s="16"/>
      <c r="DN138" s="16"/>
      <c r="DO138" s="16"/>
      <c r="DP138" s="16"/>
      <c r="DQ138" s="16"/>
      <c r="DR138" s="5"/>
      <c r="DS138" s="16"/>
      <c r="DT138" s="16"/>
      <c r="DU138" s="16"/>
      <c r="DV138" s="16"/>
      <c r="DW138" s="16"/>
      <c r="DX138" s="16"/>
      <c r="DY138" s="16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16"/>
      <c r="EK138" s="16"/>
      <c r="EL138" s="16"/>
      <c r="EM138" s="16"/>
      <c r="EN138" s="16"/>
      <c r="EO138" s="16"/>
      <c r="EP138" s="16"/>
      <c r="EQ138" s="16"/>
      <c r="ER138" s="5"/>
      <c r="ES138" s="16"/>
      <c r="ET138" s="5"/>
      <c r="EU138" s="5"/>
      <c r="EV138" s="5"/>
      <c r="EW138" s="5"/>
      <c r="EX138" s="5"/>
      <c r="EY138" s="5"/>
      <c r="EZ138" s="5"/>
      <c r="FA138" s="5"/>
      <c r="FB138" s="16"/>
      <c r="FC138" s="5"/>
      <c r="FD138" s="5"/>
      <c r="FE138" s="5"/>
      <c r="FF138" s="5"/>
      <c r="FG138" s="5"/>
      <c r="FH138" s="5"/>
      <c r="FI138" s="5"/>
      <c r="FJ138" s="5"/>
      <c r="FK138" s="16"/>
      <c r="FL138" s="5"/>
      <c r="FM138" s="5"/>
      <c r="FN138" s="5"/>
      <c r="FO138" s="5"/>
      <c r="FP138" s="5"/>
      <c r="FQ138" s="5"/>
      <c r="FR138" s="5"/>
      <c r="FS138" s="5"/>
      <c r="FT138" s="16"/>
      <c r="FU138" s="16"/>
      <c r="FV138" s="16"/>
      <c r="FW138" s="16"/>
      <c r="FX138" s="16"/>
      <c r="FY138" s="16"/>
      <c r="FZ138" s="16"/>
      <c r="GA138" s="5"/>
      <c r="GB138" s="16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9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16"/>
      <c r="IX138" s="5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</row>
    <row r="139" spans="1:33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99"/>
      <c r="AR139" s="99"/>
      <c r="AS139" s="5"/>
      <c r="AT139" s="5"/>
      <c r="AU139" s="5"/>
      <c r="AV139" s="5"/>
      <c r="AW139" s="5"/>
      <c r="AX139" s="99"/>
      <c r="AY139" s="99"/>
      <c r="AZ139" s="5"/>
      <c r="BA139" s="5"/>
      <c r="BB139" s="5"/>
      <c r="BC139" s="5"/>
      <c r="BD139" s="5"/>
      <c r="BE139" s="5"/>
      <c r="BF139" s="99"/>
      <c r="BG139" s="99"/>
      <c r="BH139" s="5"/>
      <c r="BI139" s="5"/>
      <c r="BJ139" s="5"/>
      <c r="BK139" s="5"/>
      <c r="BL139" s="5"/>
      <c r="BM139" s="99"/>
      <c r="BN139" s="99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90"/>
      <c r="CG139" s="16"/>
      <c r="CH139" s="16"/>
      <c r="CI139" s="16"/>
      <c r="CJ139" s="16"/>
      <c r="CK139" s="16"/>
      <c r="CL139" s="16"/>
      <c r="CM139" s="16"/>
      <c r="CN139" s="16"/>
      <c r="CO139" s="16"/>
      <c r="CP139" s="5"/>
      <c r="CQ139" s="16"/>
      <c r="CR139" s="16"/>
      <c r="CS139" s="16"/>
      <c r="CT139" s="16"/>
      <c r="CU139" s="16"/>
      <c r="CV139" s="16"/>
      <c r="CW139" s="16"/>
      <c r="CX139" s="16"/>
      <c r="CY139" s="5"/>
      <c r="CZ139" s="16"/>
      <c r="DA139" s="5"/>
      <c r="DB139" s="5"/>
      <c r="DC139" s="5"/>
      <c r="DD139" s="5"/>
      <c r="DE139" s="5"/>
      <c r="DF139" s="5"/>
      <c r="DG139" s="5"/>
      <c r="DH139" s="5"/>
      <c r="DI139" s="16"/>
      <c r="DJ139" s="16"/>
      <c r="DK139" s="16"/>
      <c r="DL139" s="16"/>
      <c r="DM139" s="16"/>
      <c r="DN139" s="16"/>
      <c r="DO139" s="16"/>
      <c r="DP139" s="16"/>
      <c r="DQ139" s="16"/>
      <c r="DR139" s="5"/>
      <c r="DS139" s="16"/>
      <c r="DT139" s="16"/>
      <c r="DU139" s="16"/>
      <c r="DV139" s="16"/>
      <c r="DW139" s="16"/>
      <c r="DX139" s="16"/>
      <c r="DY139" s="16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16"/>
      <c r="EK139" s="16"/>
      <c r="EL139" s="16"/>
      <c r="EM139" s="16"/>
      <c r="EN139" s="16"/>
      <c r="EO139" s="16"/>
      <c r="EP139" s="16"/>
      <c r="EQ139" s="16"/>
      <c r="ER139" s="5"/>
      <c r="ES139" s="16"/>
      <c r="ET139" s="5"/>
      <c r="EU139" s="5"/>
      <c r="EV139" s="5"/>
      <c r="EW139" s="5"/>
      <c r="EX139" s="5"/>
      <c r="EY139" s="5"/>
      <c r="EZ139" s="5"/>
      <c r="FA139" s="5"/>
      <c r="FB139" s="16"/>
      <c r="FC139" s="5"/>
      <c r="FD139" s="5"/>
      <c r="FE139" s="5"/>
      <c r="FF139" s="5"/>
      <c r="FG139" s="5"/>
      <c r="FH139" s="5"/>
      <c r="FI139" s="5"/>
      <c r="FJ139" s="5"/>
      <c r="FK139" s="16"/>
      <c r="FL139" s="5"/>
      <c r="FM139" s="5"/>
      <c r="FN139" s="5"/>
      <c r="FO139" s="5"/>
      <c r="FP139" s="5"/>
      <c r="FQ139" s="5"/>
      <c r="FR139" s="5"/>
      <c r="FS139" s="5"/>
      <c r="FT139" s="16"/>
      <c r="FU139" s="16"/>
      <c r="FV139" s="16"/>
      <c r="FW139" s="16"/>
      <c r="FX139" s="16"/>
      <c r="FY139" s="16"/>
      <c r="FZ139" s="16"/>
      <c r="GA139" s="5"/>
      <c r="GB139" s="16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9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16"/>
      <c r="IX139" s="5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</row>
    <row r="140" spans="1:33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99"/>
      <c r="AR140" s="99"/>
      <c r="AS140" s="5"/>
      <c r="AT140" s="5"/>
      <c r="AU140" s="5"/>
      <c r="AV140" s="5"/>
      <c r="AW140" s="5"/>
      <c r="AX140" s="99"/>
      <c r="AY140" s="99"/>
      <c r="AZ140" s="5"/>
      <c r="BA140" s="5"/>
      <c r="BB140" s="5"/>
      <c r="BC140" s="5"/>
      <c r="BD140" s="5"/>
      <c r="BE140" s="5"/>
      <c r="BF140" s="99"/>
      <c r="BG140" s="99"/>
      <c r="BH140" s="5"/>
      <c r="BI140" s="5"/>
      <c r="BJ140" s="5"/>
      <c r="BK140" s="5"/>
      <c r="BL140" s="5"/>
      <c r="BM140" s="99"/>
      <c r="BN140" s="99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5"/>
      <c r="CQ140" s="16"/>
      <c r="CR140" s="16"/>
      <c r="CS140" s="16"/>
      <c r="CT140" s="16"/>
      <c r="CU140" s="16"/>
      <c r="CV140" s="16"/>
      <c r="CW140" s="16"/>
      <c r="CX140" s="16"/>
      <c r="CY140" s="5"/>
      <c r="CZ140" s="16"/>
      <c r="DA140" s="5"/>
      <c r="DB140" s="5"/>
      <c r="DC140" s="5"/>
      <c r="DD140" s="5"/>
      <c r="DE140" s="5"/>
      <c r="DF140" s="5"/>
      <c r="DG140" s="5"/>
      <c r="DH140" s="5"/>
      <c r="DI140" s="16"/>
      <c r="DJ140" s="16"/>
      <c r="DK140" s="16"/>
      <c r="DL140" s="16"/>
      <c r="DM140" s="16"/>
      <c r="DN140" s="16"/>
      <c r="DO140" s="16"/>
      <c r="DP140" s="16"/>
      <c r="DQ140" s="16"/>
      <c r="DR140" s="5"/>
      <c r="DS140" s="16"/>
      <c r="DT140" s="16"/>
      <c r="DU140" s="16"/>
      <c r="DV140" s="16"/>
      <c r="DW140" s="16"/>
      <c r="DX140" s="16"/>
      <c r="DY140" s="16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16"/>
      <c r="EK140" s="16"/>
      <c r="EL140" s="16"/>
      <c r="EM140" s="16"/>
      <c r="EN140" s="16"/>
      <c r="EO140" s="16"/>
      <c r="EP140" s="16"/>
      <c r="EQ140" s="16"/>
      <c r="ER140" s="5"/>
      <c r="ES140" s="16"/>
      <c r="ET140" s="5"/>
      <c r="EU140" s="5"/>
      <c r="EV140" s="5"/>
      <c r="EW140" s="5"/>
      <c r="EX140" s="5"/>
      <c r="EY140" s="5"/>
      <c r="EZ140" s="5"/>
      <c r="FA140" s="5"/>
      <c r="FB140" s="16"/>
      <c r="FC140" s="5"/>
      <c r="FD140" s="5"/>
      <c r="FE140" s="5"/>
      <c r="FF140" s="5"/>
      <c r="FG140" s="5"/>
      <c r="FH140" s="5"/>
      <c r="FI140" s="5"/>
      <c r="FJ140" s="5"/>
      <c r="FK140" s="16"/>
      <c r="FL140" s="5"/>
      <c r="FM140" s="5"/>
      <c r="FN140" s="5"/>
      <c r="FO140" s="5"/>
      <c r="FP140" s="5"/>
      <c r="FQ140" s="5"/>
      <c r="FR140" s="5"/>
      <c r="FS140" s="5"/>
      <c r="FT140" s="16"/>
      <c r="FU140" s="16"/>
      <c r="FV140" s="16"/>
      <c r="FW140" s="16"/>
      <c r="FX140" s="16"/>
      <c r="FY140" s="16"/>
      <c r="FZ140" s="16"/>
      <c r="GA140" s="5"/>
      <c r="GB140" s="16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9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16"/>
      <c r="IX140" s="5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</row>
    <row r="141" spans="1:33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99"/>
      <c r="AR141" s="99"/>
      <c r="AS141" s="5"/>
      <c r="AT141" s="5"/>
      <c r="AU141" s="5"/>
      <c r="AV141" s="5"/>
      <c r="AW141" s="5"/>
      <c r="AX141" s="99"/>
      <c r="AY141" s="99"/>
      <c r="AZ141" s="5"/>
      <c r="BA141" s="5"/>
      <c r="BB141" s="5"/>
      <c r="BC141" s="5"/>
      <c r="BD141" s="5"/>
      <c r="BE141" s="5"/>
      <c r="BF141" s="99"/>
      <c r="BG141" s="99"/>
      <c r="BH141" s="5"/>
      <c r="BI141" s="5"/>
      <c r="BJ141" s="5"/>
      <c r="BK141" s="5"/>
      <c r="BL141" s="5"/>
      <c r="BM141" s="99"/>
      <c r="BN141" s="99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5"/>
      <c r="CQ141" s="16"/>
      <c r="CR141" s="16"/>
      <c r="CS141" s="16"/>
      <c r="CT141" s="16"/>
      <c r="CU141" s="16"/>
      <c r="CV141" s="16"/>
      <c r="CW141" s="16"/>
      <c r="CX141" s="16"/>
      <c r="CY141" s="5"/>
      <c r="CZ141" s="16"/>
      <c r="DA141" s="5"/>
      <c r="DB141" s="5"/>
      <c r="DC141" s="5"/>
      <c r="DD141" s="5"/>
      <c r="DE141" s="5"/>
      <c r="DF141" s="5"/>
      <c r="DG141" s="5"/>
      <c r="DH141" s="5"/>
      <c r="DI141" s="16"/>
      <c r="DJ141" s="16"/>
      <c r="DK141" s="16"/>
      <c r="DL141" s="16"/>
      <c r="DM141" s="16"/>
      <c r="DN141" s="16"/>
      <c r="DO141" s="16"/>
      <c r="DP141" s="16"/>
      <c r="DQ141" s="16"/>
      <c r="DR141" s="5"/>
      <c r="DS141" s="16"/>
      <c r="DT141" s="16"/>
      <c r="DU141" s="16"/>
      <c r="DV141" s="16"/>
      <c r="DW141" s="16"/>
      <c r="DX141" s="16"/>
      <c r="DY141" s="16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16"/>
      <c r="EK141" s="16"/>
      <c r="EL141" s="16"/>
      <c r="EM141" s="16"/>
      <c r="EN141" s="16"/>
      <c r="EO141" s="16"/>
      <c r="EP141" s="16"/>
      <c r="EQ141" s="16"/>
      <c r="ER141" s="5"/>
      <c r="ES141" s="16"/>
      <c r="ET141" s="5"/>
      <c r="EU141" s="5"/>
      <c r="EV141" s="5"/>
      <c r="EW141" s="5"/>
      <c r="EX141" s="5"/>
      <c r="EY141" s="5"/>
      <c r="EZ141" s="5"/>
      <c r="FA141" s="5"/>
      <c r="FB141" s="16"/>
      <c r="FC141" s="5"/>
      <c r="FD141" s="5"/>
      <c r="FE141" s="5"/>
      <c r="FF141" s="5"/>
      <c r="FG141" s="5"/>
      <c r="FH141" s="5"/>
      <c r="FI141" s="5"/>
      <c r="FJ141" s="5"/>
      <c r="FK141" s="16"/>
      <c r="FL141" s="5"/>
      <c r="FM141" s="5"/>
      <c r="FN141" s="5"/>
      <c r="FO141" s="5"/>
      <c r="FP141" s="5"/>
      <c r="FQ141" s="5"/>
      <c r="FR141" s="5"/>
      <c r="FS141" s="5"/>
      <c r="FT141" s="16"/>
      <c r="FU141" s="16"/>
      <c r="FV141" s="16"/>
      <c r="FW141" s="16"/>
      <c r="FX141" s="16"/>
      <c r="FY141" s="16"/>
      <c r="FZ141" s="16"/>
      <c r="GA141" s="5"/>
      <c r="GB141" s="16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9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16"/>
      <c r="IX141" s="5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</row>
    <row r="142" spans="1:33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99"/>
      <c r="AR142" s="99"/>
      <c r="AS142" s="5"/>
      <c r="AT142" s="5"/>
      <c r="AU142" s="5"/>
      <c r="AV142" s="5"/>
      <c r="AW142" s="5"/>
      <c r="AX142" s="99"/>
      <c r="AY142" s="99"/>
      <c r="AZ142" s="5"/>
      <c r="BA142" s="5"/>
      <c r="BB142" s="5"/>
      <c r="BC142" s="5"/>
      <c r="BD142" s="5"/>
      <c r="BE142" s="5"/>
      <c r="BF142" s="99"/>
      <c r="BG142" s="99"/>
      <c r="BH142" s="5"/>
      <c r="BI142" s="5"/>
      <c r="BJ142" s="5"/>
      <c r="BK142" s="5"/>
      <c r="BL142" s="5"/>
      <c r="BM142" s="99"/>
      <c r="BN142" s="99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5"/>
      <c r="CQ142" s="16"/>
      <c r="CR142" s="16"/>
      <c r="CS142" s="16"/>
      <c r="CT142" s="16"/>
      <c r="CU142" s="16"/>
      <c r="CV142" s="16"/>
      <c r="CW142" s="16"/>
      <c r="CX142" s="16"/>
      <c r="CY142" s="5"/>
      <c r="CZ142" s="16"/>
      <c r="DA142" s="5"/>
      <c r="DB142" s="5"/>
      <c r="DC142" s="5"/>
      <c r="DD142" s="5"/>
      <c r="DE142" s="5"/>
      <c r="DF142" s="5"/>
      <c r="DG142" s="5"/>
      <c r="DH142" s="5"/>
      <c r="DI142" s="16"/>
      <c r="DJ142" s="16"/>
      <c r="DK142" s="16"/>
      <c r="DL142" s="16"/>
      <c r="DM142" s="16"/>
      <c r="DN142" s="16"/>
      <c r="DO142" s="16"/>
      <c r="DP142" s="16"/>
      <c r="DQ142" s="16"/>
      <c r="DR142" s="5"/>
      <c r="DS142" s="16"/>
      <c r="DT142" s="16"/>
      <c r="DU142" s="16"/>
      <c r="DV142" s="16"/>
      <c r="DW142" s="16"/>
      <c r="DX142" s="16"/>
      <c r="DY142" s="16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16"/>
      <c r="EK142" s="16"/>
      <c r="EL142" s="16"/>
      <c r="EM142" s="16"/>
      <c r="EN142" s="16"/>
      <c r="EO142" s="16"/>
      <c r="EP142" s="16"/>
      <c r="EQ142" s="16"/>
      <c r="ER142" s="5"/>
      <c r="ES142" s="16"/>
      <c r="ET142" s="5"/>
      <c r="EU142" s="5"/>
      <c r="EV142" s="5"/>
      <c r="EW142" s="5"/>
      <c r="EX142" s="5"/>
      <c r="EY142" s="5"/>
      <c r="EZ142" s="5"/>
      <c r="FA142" s="5"/>
      <c r="FB142" s="16"/>
      <c r="FC142" s="5"/>
      <c r="FD142" s="5"/>
      <c r="FE142" s="5"/>
      <c r="FF142" s="5"/>
      <c r="FG142" s="5"/>
      <c r="FH142" s="5"/>
      <c r="FI142" s="5"/>
      <c r="FJ142" s="5"/>
      <c r="FK142" s="16"/>
      <c r="FL142" s="5"/>
      <c r="FM142" s="5"/>
      <c r="FN142" s="5"/>
      <c r="FO142" s="5"/>
      <c r="FP142" s="5"/>
      <c r="FQ142" s="5"/>
      <c r="FR142" s="5"/>
      <c r="FS142" s="5"/>
      <c r="FT142" s="16"/>
      <c r="FU142" s="16"/>
      <c r="FV142" s="16"/>
      <c r="FW142" s="16"/>
      <c r="FX142" s="16"/>
      <c r="FY142" s="16"/>
      <c r="FZ142" s="16"/>
      <c r="GA142" s="5"/>
      <c r="GB142" s="16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9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16"/>
      <c r="IX142" s="5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</row>
    <row r="143" spans="1:33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99"/>
      <c r="AR143" s="99"/>
      <c r="AS143" s="5"/>
      <c r="AT143" s="5"/>
      <c r="AU143" s="5"/>
      <c r="AV143" s="5"/>
      <c r="AW143" s="5"/>
      <c r="AX143" s="99"/>
      <c r="AY143" s="99"/>
      <c r="AZ143" s="5"/>
      <c r="BA143" s="5"/>
      <c r="BB143" s="5"/>
      <c r="BC143" s="5"/>
      <c r="BD143" s="5"/>
      <c r="BE143" s="5"/>
      <c r="BF143" s="99"/>
      <c r="BG143" s="99"/>
      <c r="BH143" s="5"/>
      <c r="BI143" s="5"/>
      <c r="BJ143" s="5"/>
      <c r="BK143" s="5"/>
      <c r="BL143" s="5"/>
      <c r="BM143" s="99"/>
      <c r="BN143" s="99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5"/>
      <c r="CQ143" s="16"/>
      <c r="CR143" s="16"/>
      <c r="CS143" s="16"/>
      <c r="CT143" s="16"/>
      <c r="CU143" s="16"/>
      <c r="CV143" s="16"/>
      <c r="CW143" s="16"/>
      <c r="CX143" s="16"/>
      <c r="CY143" s="5"/>
      <c r="CZ143" s="16"/>
      <c r="DA143" s="5"/>
      <c r="DB143" s="5"/>
      <c r="DC143" s="5"/>
      <c r="DD143" s="5"/>
      <c r="DE143" s="5"/>
      <c r="DF143" s="5"/>
      <c r="DG143" s="5"/>
      <c r="DH143" s="5"/>
      <c r="DI143" s="16"/>
      <c r="DJ143" s="16"/>
      <c r="DK143" s="16"/>
      <c r="DL143" s="16"/>
      <c r="DM143" s="16"/>
      <c r="DN143" s="16"/>
      <c r="DO143" s="16"/>
      <c r="DP143" s="16"/>
      <c r="DQ143" s="16"/>
      <c r="DR143" s="5"/>
      <c r="DS143" s="16"/>
      <c r="DT143" s="16"/>
      <c r="DU143" s="16"/>
      <c r="DV143" s="16"/>
      <c r="DW143" s="16"/>
      <c r="DX143" s="16"/>
      <c r="DY143" s="16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16"/>
      <c r="EK143" s="16"/>
      <c r="EL143" s="16"/>
      <c r="EM143" s="16"/>
      <c r="EN143" s="16"/>
      <c r="EO143" s="16"/>
      <c r="EP143" s="16"/>
      <c r="EQ143" s="16"/>
      <c r="ER143" s="5"/>
      <c r="ES143" s="16"/>
      <c r="ET143" s="5"/>
      <c r="EU143" s="5"/>
      <c r="EV143" s="5"/>
      <c r="EW143" s="5"/>
      <c r="EX143" s="5"/>
      <c r="EY143" s="5"/>
      <c r="EZ143" s="5"/>
      <c r="FA143" s="5"/>
      <c r="FB143" s="16"/>
      <c r="FC143" s="5"/>
      <c r="FD143" s="5"/>
      <c r="FE143" s="5"/>
      <c r="FF143" s="5"/>
      <c r="FG143" s="5"/>
      <c r="FH143" s="5"/>
      <c r="FI143" s="5"/>
      <c r="FJ143" s="5"/>
      <c r="FK143" s="16"/>
      <c r="FL143" s="5"/>
      <c r="FM143" s="5"/>
      <c r="FN143" s="5"/>
      <c r="FO143" s="5"/>
      <c r="FP143" s="5"/>
      <c r="FQ143" s="5"/>
      <c r="FR143" s="5"/>
      <c r="FS143" s="5"/>
      <c r="FT143" s="16"/>
      <c r="FU143" s="16"/>
      <c r="FV143" s="16"/>
      <c r="FW143" s="16"/>
      <c r="FX143" s="16"/>
      <c r="FY143" s="16"/>
      <c r="FZ143" s="16"/>
      <c r="GA143" s="5"/>
      <c r="GB143" s="16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9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16"/>
      <c r="IX143" s="5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</row>
    <row r="144" spans="1:33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99"/>
      <c r="AR144" s="99"/>
      <c r="AS144" s="5"/>
      <c r="AT144" s="5"/>
      <c r="AU144" s="5"/>
      <c r="AV144" s="5"/>
      <c r="AW144" s="5"/>
      <c r="AX144" s="99"/>
      <c r="AY144" s="99"/>
      <c r="AZ144" s="5"/>
      <c r="BA144" s="5"/>
      <c r="BB144" s="5"/>
      <c r="BC144" s="5"/>
      <c r="BD144" s="5"/>
      <c r="BE144" s="5"/>
      <c r="BF144" s="99"/>
      <c r="BG144" s="99"/>
      <c r="BH144" s="5"/>
      <c r="BI144" s="5"/>
      <c r="BJ144" s="5"/>
      <c r="BK144" s="5"/>
      <c r="BL144" s="5"/>
      <c r="BM144" s="99"/>
      <c r="BN144" s="99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5"/>
      <c r="CQ144" s="16"/>
      <c r="CR144" s="16"/>
      <c r="CS144" s="16"/>
      <c r="CT144" s="16"/>
      <c r="CU144" s="16"/>
      <c r="CV144" s="16"/>
      <c r="CW144" s="16"/>
      <c r="CX144" s="16"/>
      <c r="CY144" s="5"/>
      <c r="CZ144" s="16"/>
      <c r="DA144" s="5"/>
      <c r="DB144" s="5"/>
      <c r="DC144" s="5"/>
      <c r="DD144" s="5"/>
      <c r="DE144" s="5"/>
      <c r="DF144" s="5"/>
      <c r="DG144" s="5"/>
      <c r="DH144" s="5"/>
      <c r="DI144" s="16"/>
      <c r="DJ144" s="16"/>
      <c r="DK144" s="16"/>
      <c r="DL144" s="16"/>
      <c r="DM144" s="16"/>
      <c r="DN144" s="16"/>
      <c r="DO144" s="16"/>
      <c r="DP144" s="16"/>
      <c r="DQ144" s="16"/>
      <c r="DR144" s="5"/>
      <c r="DS144" s="16"/>
      <c r="DT144" s="16"/>
      <c r="DU144" s="16"/>
      <c r="DV144" s="16"/>
      <c r="DW144" s="16"/>
      <c r="DX144" s="16"/>
      <c r="DY144" s="16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16"/>
      <c r="EK144" s="16"/>
      <c r="EL144" s="16"/>
      <c r="EM144" s="16"/>
      <c r="EN144" s="16"/>
      <c r="EO144" s="16"/>
      <c r="EP144" s="16"/>
      <c r="EQ144" s="16"/>
      <c r="ER144" s="5"/>
      <c r="ES144" s="16"/>
      <c r="ET144" s="5"/>
      <c r="EU144" s="5"/>
      <c r="EV144" s="5"/>
      <c r="EW144" s="5"/>
      <c r="EX144" s="5"/>
      <c r="EY144" s="5"/>
      <c r="EZ144" s="5"/>
      <c r="FA144" s="5"/>
      <c r="FB144" s="16"/>
      <c r="FC144" s="5"/>
      <c r="FD144" s="5"/>
      <c r="FE144" s="5"/>
      <c r="FF144" s="5"/>
      <c r="FG144" s="5"/>
      <c r="FH144" s="5"/>
      <c r="FI144" s="5"/>
      <c r="FJ144" s="5"/>
      <c r="FK144" s="16"/>
      <c r="FL144" s="5"/>
      <c r="FM144" s="5"/>
      <c r="FN144" s="5"/>
      <c r="FO144" s="5"/>
      <c r="FP144" s="5"/>
      <c r="FQ144" s="5"/>
      <c r="FR144" s="5"/>
      <c r="FS144" s="5"/>
      <c r="FT144" s="16"/>
      <c r="FU144" s="16"/>
      <c r="FV144" s="16"/>
      <c r="FW144" s="16"/>
      <c r="FX144" s="16"/>
      <c r="FY144" s="16"/>
      <c r="FZ144" s="16"/>
      <c r="GA144" s="5"/>
      <c r="GB144" s="16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9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16"/>
      <c r="IX144" s="5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</row>
    <row r="145" spans="1:33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99"/>
      <c r="AR145" s="99"/>
      <c r="AS145" s="5"/>
      <c r="AT145" s="5"/>
      <c r="AU145" s="5"/>
      <c r="AV145" s="5"/>
      <c r="AW145" s="5"/>
      <c r="AX145" s="99"/>
      <c r="AY145" s="99"/>
      <c r="AZ145" s="5"/>
      <c r="BA145" s="5"/>
      <c r="BB145" s="5"/>
      <c r="BC145" s="5"/>
      <c r="BD145" s="5"/>
      <c r="BE145" s="5"/>
      <c r="BF145" s="99"/>
      <c r="BG145" s="99"/>
      <c r="BH145" s="5"/>
      <c r="BI145" s="5"/>
      <c r="BJ145" s="5"/>
      <c r="BK145" s="5"/>
      <c r="BL145" s="5"/>
      <c r="BM145" s="99"/>
      <c r="BN145" s="99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5"/>
      <c r="CQ145" s="16"/>
      <c r="CR145" s="16"/>
      <c r="CS145" s="16"/>
      <c r="CT145" s="16"/>
      <c r="CU145" s="16"/>
      <c r="CV145" s="16"/>
      <c r="CW145" s="16"/>
      <c r="CX145" s="16"/>
      <c r="CY145" s="5"/>
      <c r="CZ145" s="16"/>
      <c r="DA145" s="5"/>
      <c r="DB145" s="5"/>
      <c r="DC145" s="5"/>
      <c r="DD145" s="5"/>
      <c r="DE145" s="5"/>
      <c r="DF145" s="5"/>
      <c r="DG145" s="5"/>
      <c r="DH145" s="5"/>
      <c r="DI145" s="16"/>
      <c r="DJ145" s="16"/>
      <c r="DK145" s="16"/>
      <c r="DL145" s="16"/>
      <c r="DM145" s="16"/>
      <c r="DN145" s="16"/>
      <c r="DO145" s="16"/>
      <c r="DP145" s="16"/>
      <c r="DQ145" s="16"/>
      <c r="DR145" s="5"/>
      <c r="DS145" s="16"/>
      <c r="DT145" s="16"/>
      <c r="DU145" s="16"/>
      <c r="DV145" s="16"/>
      <c r="DW145" s="16"/>
      <c r="DX145" s="16"/>
      <c r="DY145" s="16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16"/>
      <c r="EK145" s="16"/>
      <c r="EL145" s="16"/>
      <c r="EM145" s="16"/>
      <c r="EN145" s="16"/>
      <c r="EO145" s="16"/>
      <c r="EP145" s="16"/>
      <c r="EQ145" s="16"/>
      <c r="ER145" s="5"/>
      <c r="ES145" s="16"/>
      <c r="ET145" s="5"/>
      <c r="EU145" s="5"/>
      <c r="EV145" s="5"/>
      <c r="EW145" s="5"/>
      <c r="EX145" s="5"/>
      <c r="EY145" s="5"/>
      <c r="EZ145" s="5"/>
      <c r="FA145" s="5"/>
      <c r="FB145" s="16"/>
      <c r="FC145" s="5"/>
      <c r="FD145" s="5"/>
      <c r="FE145" s="5"/>
      <c r="FF145" s="5"/>
      <c r="FG145" s="5"/>
      <c r="FH145" s="5"/>
      <c r="FI145" s="5"/>
      <c r="FJ145" s="5"/>
      <c r="FK145" s="16"/>
      <c r="FL145" s="5"/>
      <c r="FM145" s="5"/>
      <c r="FN145" s="5"/>
      <c r="FO145" s="5"/>
      <c r="FP145" s="5"/>
      <c r="FQ145" s="5"/>
      <c r="FR145" s="5"/>
      <c r="FS145" s="5"/>
      <c r="FT145" s="16"/>
      <c r="FU145" s="16"/>
      <c r="FV145" s="16"/>
      <c r="FW145" s="16"/>
      <c r="FX145" s="16"/>
      <c r="FY145" s="16"/>
      <c r="FZ145" s="16"/>
      <c r="GA145" s="5"/>
      <c r="GB145" s="16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9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16"/>
      <c r="IX145" s="5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</row>
    <row r="146" spans="1:33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99"/>
      <c r="AR146" s="99"/>
      <c r="AS146" s="5"/>
      <c r="AT146" s="5"/>
      <c r="AU146" s="5"/>
      <c r="AV146" s="5"/>
      <c r="AW146" s="5"/>
      <c r="AX146" s="99"/>
      <c r="AY146" s="99"/>
      <c r="AZ146" s="5"/>
      <c r="BA146" s="5"/>
      <c r="BB146" s="5"/>
      <c r="BC146" s="5"/>
      <c r="BD146" s="5"/>
      <c r="BE146" s="5"/>
      <c r="BF146" s="99"/>
      <c r="BG146" s="99"/>
      <c r="BH146" s="5"/>
      <c r="BI146" s="5"/>
      <c r="BJ146" s="5"/>
      <c r="BK146" s="5"/>
      <c r="BL146" s="5"/>
      <c r="BM146" s="99"/>
      <c r="BN146" s="99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5"/>
      <c r="CQ146" s="16"/>
      <c r="CR146" s="16"/>
      <c r="CS146" s="16"/>
      <c r="CT146" s="16"/>
      <c r="CU146" s="16"/>
      <c r="CV146" s="16"/>
      <c r="CW146" s="16"/>
      <c r="CX146" s="16"/>
      <c r="CY146" s="5"/>
      <c r="CZ146" s="16"/>
      <c r="DA146" s="5"/>
      <c r="DB146" s="5"/>
      <c r="DC146" s="5"/>
      <c r="DD146" s="5"/>
      <c r="DE146" s="5"/>
      <c r="DF146" s="5"/>
      <c r="DG146" s="5"/>
      <c r="DH146" s="5"/>
      <c r="DI146" s="16"/>
      <c r="DJ146" s="16"/>
      <c r="DK146" s="16"/>
      <c r="DL146" s="16"/>
      <c r="DM146" s="16"/>
      <c r="DN146" s="16"/>
      <c r="DO146" s="16"/>
      <c r="DP146" s="16"/>
      <c r="DQ146" s="16"/>
      <c r="DR146" s="5"/>
      <c r="DS146" s="16"/>
      <c r="DT146" s="16"/>
      <c r="DU146" s="16"/>
      <c r="DV146" s="16"/>
      <c r="DW146" s="16"/>
      <c r="DX146" s="16"/>
      <c r="DY146" s="16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16"/>
      <c r="EK146" s="16"/>
      <c r="EL146" s="16"/>
      <c r="EM146" s="16"/>
      <c r="EN146" s="16"/>
      <c r="EO146" s="16"/>
      <c r="EP146" s="16"/>
      <c r="EQ146" s="16"/>
      <c r="ER146" s="5"/>
      <c r="ES146" s="16"/>
      <c r="ET146" s="5"/>
      <c r="EU146" s="5"/>
      <c r="EV146" s="5"/>
      <c r="EW146" s="5"/>
      <c r="EX146" s="5"/>
      <c r="EY146" s="5"/>
      <c r="EZ146" s="5"/>
      <c r="FA146" s="5"/>
      <c r="FB146" s="16"/>
      <c r="FC146" s="5"/>
      <c r="FD146" s="5"/>
      <c r="FE146" s="5"/>
      <c r="FF146" s="5"/>
      <c r="FG146" s="5"/>
      <c r="FH146" s="5"/>
      <c r="FI146" s="5"/>
      <c r="FJ146" s="5"/>
      <c r="FK146" s="16"/>
      <c r="FL146" s="5"/>
      <c r="FM146" s="5"/>
      <c r="FN146" s="5"/>
      <c r="FO146" s="5"/>
      <c r="FP146" s="5"/>
      <c r="FQ146" s="5"/>
      <c r="FR146" s="5"/>
      <c r="FS146" s="5"/>
      <c r="FT146" s="16"/>
      <c r="FU146" s="16"/>
      <c r="FV146" s="16"/>
      <c r="FW146" s="16"/>
      <c r="FX146" s="16"/>
      <c r="FY146" s="16"/>
      <c r="FZ146" s="16"/>
      <c r="GA146" s="5"/>
      <c r="GB146" s="16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9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16"/>
      <c r="IX146" s="5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</row>
    <row r="147" spans="1:33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99"/>
      <c r="AR147" s="99"/>
      <c r="AS147" s="5"/>
      <c r="AT147" s="5"/>
      <c r="AU147" s="5"/>
      <c r="AV147" s="5"/>
      <c r="AW147" s="5"/>
      <c r="AX147" s="99"/>
      <c r="AY147" s="99"/>
      <c r="AZ147" s="5"/>
      <c r="BA147" s="5"/>
      <c r="BB147" s="5"/>
      <c r="BC147" s="5"/>
      <c r="BD147" s="5"/>
      <c r="BE147" s="5"/>
      <c r="BF147" s="99"/>
      <c r="BG147" s="99"/>
      <c r="BH147" s="5"/>
      <c r="BI147" s="5"/>
      <c r="BJ147" s="5"/>
      <c r="BK147" s="5"/>
      <c r="BL147" s="5"/>
      <c r="BM147" s="99"/>
      <c r="BN147" s="99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5"/>
      <c r="CQ147" s="16"/>
      <c r="CR147" s="16"/>
      <c r="CS147" s="16"/>
      <c r="CT147" s="16"/>
      <c r="CU147" s="16"/>
      <c r="CV147" s="16"/>
      <c r="CW147" s="16"/>
      <c r="CX147" s="16"/>
      <c r="CY147" s="5"/>
      <c r="CZ147" s="16"/>
      <c r="DA147" s="5"/>
      <c r="DB147" s="5"/>
      <c r="DC147" s="5"/>
      <c r="DD147" s="5"/>
      <c r="DE147" s="5"/>
      <c r="DF147" s="5"/>
      <c r="DG147" s="5"/>
      <c r="DH147" s="5"/>
      <c r="DI147" s="16"/>
      <c r="DJ147" s="16"/>
      <c r="DK147" s="16"/>
      <c r="DL147" s="16"/>
      <c r="DM147" s="16"/>
      <c r="DN147" s="16"/>
      <c r="DO147" s="16"/>
      <c r="DP147" s="16"/>
      <c r="DQ147" s="16"/>
      <c r="DR147" s="5"/>
      <c r="DS147" s="16"/>
      <c r="DT147" s="16"/>
      <c r="DU147" s="16"/>
      <c r="DV147" s="16"/>
      <c r="DW147" s="16"/>
      <c r="DX147" s="16"/>
      <c r="DY147" s="16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16"/>
      <c r="EK147" s="16"/>
      <c r="EL147" s="16"/>
      <c r="EM147" s="16"/>
      <c r="EN147" s="16"/>
      <c r="EO147" s="16"/>
      <c r="EP147" s="16"/>
      <c r="EQ147" s="16"/>
      <c r="ER147" s="5"/>
      <c r="ES147" s="16"/>
      <c r="ET147" s="5"/>
      <c r="EU147" s="5"/>
      <c r="EV147" s="5"/>
      <c r="EW147" s="5"/>
      <c r="EX147" s="5"/>
      <c r="EY147" s="5"/>
      <c r="EZ147" s="5"/>
      <c r="FA147" s="5"/>
      <c r="FB147" s="16"/>
      <c r="FC147" s="5"/>
      <c r="FD147" s="5"/>
      <c r="FE147" s="5"/>
      <c r="FF147" s="5"/>
      <c r="FG147" s="5"/>
      <c r="FH147" s="5"/>
      <c r="FI147" s="5"/>
      <c r="FJ147" s="5"/>
      <c r="FK147" s="16"/>
      <c r="FL147" s="5"/>
      <c r="FM147" s="5"/>
      <c r="FN147" s="5"/>
      <c r="FO147" s="5"/>
      <c r="FP147" s="5"/>
      <c r="FQ147" s="5"/>
      <c r="FR147" s="5"/>
      <c r="FS147" s="5"/>
      <c r="FT147" s="16"/>
      <c r="FU147" s="16"/>
      <c r="FV147" s="16"/>
      <c r="FW147" s="16"/>
      <c r="FX147" s="16"/>
      <c r="FY147" s="16"/>
      <c r="FZ147" s="16"/>
      <c r="GA147" s="5"/>
      <c r="GB147" s="16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9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16"/>
      <c r="IX147" s="5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</row>
    <row r="148" spans="1:33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99"/>
      <c r="AR148" s="99"/>
      <c r="AS148" s="5"/>
      <c r="AT148" s="5"/>
      <c r="AU148" s="5"/>
      <c r="AV148" s="5"/>
      <c r="AW148" s="5"/>
      <c r="AX148" s="99"/>
      <c r="AY148" s="99"/>
      <c r="AZ148" s="5"/>
      <c r="BA148" s="5"/>
      <c r="BB148" s="5"/>
      <c r="BC148" s="5"/>
      <c r="BD148" s="5"/>
      <c r="BE148" s="5"/>
      <c r="BF148" s="99"/>
      <c r="BG148" s="99"/>
      <c r="BH148" s="5"/>
      <c r="BI148" s="5"/>
      <c r="BJ148" s="5"/>
      <c r="BK148" s="5"/>
      <c r="BL148" s="5"/>
      <c r="BM148" s="99"/>
      <c r="BN148" s="99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5"/>
      <c r="CQ148" s="16"/>
      <c r="CR148" s="16"/>
      <c r="CS148" s="16"/>
      <c r="CT148" s="16"/>
      <c r="CU148" s="16"/>
      <c r="CV148" s="16"/>
      <c r="CW148" s="16"/>
      <c r="CX148" s="16"/>
      <c r="CY148" s="5"/>
      <c r="CZ148" s="16"/>
      <c r="DA148" s="5"/>
      <c r="DB148" s="5"/>
      <c r="DC148" s="5"/>
      <c r="DD148" s="5"/>
      <c r="DE148" s="5"/>
      <c r="DF148" s="5"/>
      <c r="DG148" s="5"/>
      <c r="DH148" s="5"/>
      <c r="DI148" s="16"/>
      <c r="DJ148" s="16"/>
      <c r="DK148" s="16"/>
      <c r="DL148" s="16"/>
      <c r="DM148" s="16"/>
      <c r="DN148" s="16"/>
      <c r="DO148" s="16"/>
      <c r="DP148" s="16"/>
      <c r="DQ148" s="16"/>
      <c r="DR148" s="5"/>
      <c r="DS148" s="16"/>
      <c r="DT148" s="16"/>
      <c r="DU148" s="16"/>
      <c r="DV148" s="16"/>
      <c r="DW148" s="16"/>
      <c r="DX148" s="16"/>
      <c r="DY148" s="16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16"/>
      <c r="EK148" s="16"/>
      <c r="EL148" s="16"/>
      <c r="EM148" s="16"/>
      <c r="EN148" s="16"/>
      <c r="EO148" s="16"/>
      <c r="EP148" s="16"/>
      <c r="EQ148" s="16"/>
      <c r="ER148" s="5"/>
      <c r="ES148" s="16"/>
      <c r="ET148" s="5"/>
      <c r="EU148" s="5"/>
      <c r="EV148" s="5"/>
      <c r="EW148" s="5"/>
      <c r="EX148" s="5"/>
      <c r="EY148" s="5"/>
      <c r="EZ148" s="5"/>
      <c r="FA148" s="5"/>
      <c r="FB148" s="16"/>
      <c r="FC148" s="5"/>
      <c r="FD148" s="5"/>
      <c r="FE148" s="5"/>
      <c r="FF148" s="5"/>
      <c r="FG148" s="5"/>
      <c r="FH148" s="5"/>
      <c r="FI148" s="5"/>
      <c r="FJ148" s="5"/>
      <c r="FK148" s="16"/>
      <c r="FL148" s="5"/>
      <c r="FM148" s="5"/>
      <c r="FN148" s="5"/>
      <c r="FO148" s="5"/>
      <c r="FP148" s="5"/>
      <c r="FQ148" s="5"/>
      <c r="FR148" s="5"/>
      <c r="FS148" s="5"/>
      <c r="FT148" s="16"/>
      <c r="FU148" s="16"/>
      <c r="FV148" s="16"/>
      <c r="FW148" s="16"/>
      <c r="FX148" s="16"/>
      <c r="FY148" s="16"/>
      <c r="FZ148" s="16"/>
      <c r="GA148" s="5"/>
      <c r="GB148" s="16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9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16"/>
      <c r="IX148" s="5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</row>
    <row r="149" spans="1:33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99"/>
      <c r="AR149" s="99"/>
      <c r="AS149" s="5"/>
      <c r="AT149" s="5"/>
      <c r="AU149" s="5"/>
      <c r="AV149" s="5"/>
      <c r="AW149" s="5"/>
      <c r="AX149" s="99"/>
      <c r="AY149" s="99"/>
      <c r="AZ149" s="5"/>
      <c r="BA149" s="5"/>
      <c r="BB149" s="5"/>
      <c r="BC149" s="5"/>
      <c r="BD149" s="5"/>
      <c r="BE149" s="5"/>
      <c r="BF149" s="99"/>
      <c r="BG149" s="99"/>
      <c r="BH149" s="5"/>
      <c r="BI149" s="5"/>
      <c r="BJ149" s="5"/>
      <c r="BK149" s="5"/>
      <c r="BL149" s="5"/>
      <c r="BM149" s="99"/>
      <c r="BN149" s="99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5"/>
      <c r="CQ149" s="16"/>
      <c r="CR149" s="16"/>
      <c r="CS149" s="16"/>
      <c r="CT149" s="16"/>
      <c r="CU149" s="16"/>
      <c r="CV149" s="16"/>
      <c r="CW149" s="16"/>
      <c r="CX149" s="16"/>
      <c r="CY149" s="5"/>
      <c r="CZ149" s="16"/>
      <c r="DA149" s="5"/>
      <c r="DB149" s="5"/>
      <c r="DC149" s="5"/>
      <c r="DD149" s="5"/>
      <c r="DE149" s="5"/>
      <c r="DF149" s="5"/>
      <c r="DG149" s="5"/>
      <c r="DH149" s="5"/>
      <c r="DI149" s="16"/>
      <c r="DJ149" s="16"/>
      <c r="DK149" s="16"/>
      <c r="DL149" s="16"/>
      <c r="DM149" s="16"/>
      <c r="DN149" s="16"/>
      <c r="DO149" s="16"/>
      <c r="DP149" s="16"/>
      <c r="DQ149" s="16"/>
      <c r="DR149" s="5"/>
      <c r="DS149" s="16"/>
      <c r="DT149" s="16"/>
      <c r="DU149" s="16"/>
      <c r="DV149" s="16"/>
      <c r="DW149" s="16"/>
      <c r="DX149" s="16"/>
      <c r="DY149" s="16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16"/>
      <c r="EK149" s="16"/>
      <c r="EL149" s="16"/>
      <c r="EM149" s="16"/>
      <c r="EN149" s="16"/>
      <c r="EO149" s="16"/>
      <c r="EP149" s="16"/>
      <c r="EQ149" s="16"/>
      <c r="ER149" s="5"/>
      <c r="ES149" s="16"/>
      <c r="ET149" s="5"/>
      <c r="EU149" s="5"/>
      <c r="EV149" s="5"/>
      <c r="EW149" s="5"/>
      <c r="EX149" s="5"/>
      <c r="EY149" s="5"/>
      <c r="EZ149" s="5"/>
      <c r="FA149" s="5"/>
      <c r="FB149" s="16"/>
      <c r="FC149" s="5"/>
      <c r="FD149" s="5"/>
      <c r="FE149" s="5"/>
      <c r="FF149" s="5"/>
      <c r="FG149" s="5"/>
      <c r="FH149" s="5"/>
      <c r="FI149" s="5"/>
      <c r="FJ149" s="5"/>
      <c r="FK149" s="16"/>
      <c r="FL149" s="5"/>
      <c r="FM149" s="5"/>
      <c r="FN149" s="5"/>
      <c r="FO149" s="5"/>
      <c r="FP149" s="5"/>
      <c r="FQ149" s="5"/>
      <c r="FR149" s="5"/>
      <c r="FS149" s="5"/>
      <c r="FT149" s="16"/>
      <c r="FU149" s="16"/>
      <c r="FV149" s="16"/>
      <c r="FW149" s="16"/>
      <c r="FX149" s="16"/>
      <c r="FY149" s="16"/>
      <c r="FZ149" s="16"/>
      <c r="GA149" s="5"/>
      <c r="GB149" s="16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9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16"/>
      <c r="IX149" s="5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</row>
    <row r="150" spans="1:33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99"/>
      <c r="AR150" s="99"/>
      <c r="AS150" s="5"/>
      <c r="AT150" s="5"/>
      <c r="AU150" s="5"/>
      <c r="AV150" s="5"/>
      <c r="AW150" s="5"/>
      <c r="AX150" s="99"/>
      <c r="AY150" s="99"/>
      <c r="AZ150" s="5"/>
      <c r="BA150" s="5"/>
      <c r="BB150" s="5"/>
      <c r="BC150" s="5"/>
      <c r="BD150" s="5"/>
      <c r="BE150" s="5"/>
      <c r="BF150" s="99"/>
      <c r="BG150" s="99"/>
      <c r="BH150" s="5"/>
      <c r="BI150" s="5"/>
      <c r="BJ150" s="5"/>
      <c r="BK150" s="5"/>
      <c r="BL150" s="5"/>
      <c r="BM150" s="99"/>
      <c r="BN150" s="99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5"/>
      <c r="CQ150" s="16"/>
      <c r="CR150" s="16"/>
      <c r="CS150" s="16"/>
      <c r="CT150" s="16"/>
      <c r="CU150" s="16"/>
      <c r="CV150" s="16"/>
      <c r="CW150" s="16"/>
      <c r="CX150" s="16"/>
      <c r="CY150" s="5"/>
      <c r="CZ150" s="16"/>
      <c r="DA150" s="5"/>
      <c r="DB150" s="5"/>
      <c r="DC150" s="5"/>
      <c r="DD150" s="5"/>
      <c r="DE150" s="5"/>
      <c r="DF150" s="5"/>
      <c r="DG150" s="5"/>
      <c r="DH150" s="5"/>
      <c r="DI150" s="16"/>
      <c r="DJ150" s="16"/>
      <c r="DK150" s="16"/>
      <c r="DL150" s="16"/>
      <c r="DM150" s="16"/>
      <c r="DN150" s="16"/>
      <c r="DO150" s="16"/>
      <c r="DP150" s="16"/>
      <c r="DQ150" s="16"/>
      <c r="DR150" s="5"/>
      <c r="DS150" s="16"/>
      <c r="DT150" s="16"/>
      <c r="DU150" s="16"/>
      <c r="DV150" s="16"/>
      <c r="DW150" s="16"/>
      <c r="DX150" s="16"/>
      <c r="DY150" s="16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16"/>
      <c r="EK150" s="16"/>
      <c r="EL150" s="16"/>
      <c r="EM150" s="16"/>
      <c r="EN150" s="16"/>
      <c r="EO150" s="16"/>
      <c r="EP150" s="16"/>
      <c r="EQ150" s="16"/>
      <c r="ER150" s="5"/>
      <c r="ES150" s="16"/>
      <c r="ET150" s="5"/>
      <c r="EU150" s="5"/>
      <c r="EV150" s="5"/>
      <c r="EW150" s="5"/>
      <c r="EX150" s="5"/>
      <c r="EY150" s="5"/>
      <c r="EZ150" s="5"/>
      <c r="FA150" s="5"/>
      <c r="FB150" s="16"/>
      <c r="FC150" s="5"/>
      <c r="FD150" s="5"/>
      <c r="FE150" s="5"/>
      <c r="FF150" s="5"/>
      <c r="FG150" s="5"/>
      <c r="FH150" s="5"/>
      <c r="FI150" s="5"/>
      <c r="FJ150" s="5"/>
      <c r="FK150" s="16"/>
      <c r="FL150" s="5"/>
      <c r="FM150" s="5"/>
      <c r="FN150" s="5"/>
      <c r="FO150" s="5"/>
      <c r="FP150" s="5"/>
      <c r="FQ150" s="5"/>
      <c r="FR150" s="5"/>
      <c r="FS150" s="5"/>
      <c r="FT150" s="16"/>
      <c r="FU150" s="16"/>
      <c r="FV150" s="16"/>
      <c r="FW150" s="16"/>
      <c r="FX150" s="16"/>
      <c r="FY150" s="16"/>
      <c r="FZ150" s="16"/>
      <c r="GA150" s="5"/>
      <c r="GB150" s="16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9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16"/>
      <c r="IX150" s="5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</row>
    <row r="151" spans="1:33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99"/>
      <c r="AR151" s="99"/>
      <c r="AS151" s="5"/>
      <c r="AT151" s="5"/>
      <c r="AU151" s="5"/>
      <c r="AV151" s="5"/>
      <c r="AW151" s="5"/>
      <c r="AX151" s="99"/>
      <c r="AY151" s="99"/>
      <c r="AZ151" s="5"/>
      <c r="BA151" s="5"/>
      <c r="BB151" s="5"/>
      <c r="BC151" s="5"/>
      <c r="BD151" s="5"/>
      <c r="BE151" s="5"/>
      <c r="BF151" s="99"/>
      <c r="BG151" s="99"/>
      <c r="BH151" s="5"/>
      <c r="BI151" s="5"/>
      <c r="BJ151" s="5"/>
      <c r="BK151" s="5"/>
      <c r="BL151" s="5"/>
      <c r="BM151" s="99"/>
      <c r="BN151" s="99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5"/>
      <c r="CQ151" s="16"/>
      <c r="CR151" s="16"/>
      <c r="CS151" s="16"/>
      <c r="CT151" s="16"/>
      <c r="CU151" s="16"/>
      <c r="CV151" s="16"/>
      <c r="CW151" s="16"/>
      <c r="CX151" s="16"/>
      <c r="CY151" s="5"/>
      <c r="CZ151" s="16"/>
      <c r="DA151" s="5"/>
      <c r="DB151" s="5"/>
      <c r="DC151" s="5"/>
      <c r="DD151" s="5"/>
      <c r="DE151" s="5"/>
      <c r="DF151" s="5"/>
      <c r="DG151" s="5"/>
      <c r="DH151" s="5"/>
      <c r="DI151" s="16"/>
      <c r="DJ151" s="16"/>
      <c r="DK151" s="16"/>
      <c r="DL151" s="16"/>
      <c r="DM151" s="16"/>
      <c r="DN151" s="16"/>
      <c r="DO151" s="16"/>
      <c r="DP151" s="16"/>
      <c r="DQ151" s="16"/>
      <c r="DR151" s="5"/>
      <c r="DS151" s="16"/>
      <c r="DT151" s="16"/>
      <c r="DU151" s="16"/>
      <c r="DV151" s="16"/>
      <c r="DW151" s="16"/>
      <c r="DX151" s="16"/>
      <c r="DY151" s="16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16"/>
      <c r="EK151" s="16"/>
      <c r="EL151" s="16"/>
      <c r="EM151" s="16"/>
      <c r="EN151" s="16"/>
      <c r="EO151" s="16"/>
      <c r="EP151" s="16"/>
      <c r="EQ151" s="16"/>
      <c r="ER151" s="5"/>
      <c r="ES151" s="16"/>
      <c r="ET151" s="5"/>
      <c r="EU151" s="5"/>
      <c r="EV151" s="5"/>
      <c r="EW151" s="5"/>
      <c r="EX151" s="5"/>
      <c r="EY151" s="5"/>
      <c r="EZ151" s="5"/>
      <c r="FA151" s="5"/>
      <c r="FB151" s="16"/>
      <c r="FC151" s="5"/>
      <c r="FD151" s="5"/>
      <c r="FE151" s="5"/>
      <c r="FF151" s="5"/>
      <c r="FG151" s="5"/>
      <c r="FH151" s="5"/>
      <c r="FI151" s="5"/>
      <c r="FJ151" s="5"/>
      <c r="FK151" s="16"/>
      <c r="FL151" s="5"/>
      <c r="FM151" s="5"/>
      <c r="FN151" s="5"/>
      <c r="FO151" s="5"/>
      <c r="FP151" s="5"/>
      <c r="FQ151" s="5"/>
      <c r="FR151" s="5"/>
      <c r="FS151" s="5"/>
      <c r="FT151" s="16"/>
      <c r="FU151" s="16"/>
      <c r="FV151" s="16"/>
      <c r="FW151" s="16"/>
      <c r="FX151" s="16"/>
      <c r="FY151" s="16"/>
      <c r="FZ151" s="16"/>
      <c r="GA151" s="5"/>
      <c r="GB151" s="16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9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16"/>
      <c r="IX151" s="5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</row>
    <row r="152" spans="1:33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99"/>
      <c r="AR152" s="99"/>
      <c r="AS152" s="5"/>
      <c r="AT152" s="5"/>
      <c r="AU152" s="5"/>
      <c r="AV152" s="5"/>
      <c r="AW152" s="5"/>
      <c r="AX152" s="99"/>
      <c r="AY152" s="99"/>
      <c r="AZ152" s="5"/>
      <c r="BA152" s="5"/>
      <c r="BB152" s="5"/>
      <c r="BC152" s="5"/>
      <c r="BD152" s="5"/>
      <c r="BE152" s="5"/>
      <c r="BF152" s="99"/>
      <c r="BG152" s="99"/>
      <c r="BH152" s="5"/>
      <c r="BI152" s="5"/>
      <c r="BJ152" s="5"/>
      <c r="BK152" s="5"/>
      <c r="BL152" s="5"/>
      <c r="BM152" s="99"/>
      <c r="BN152" s="99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5"/>
      <c r="CQ152" s="16"/>
      <c r="CR152" s="16"/>
      <c r="CS152" s="16"/>
      <c r="CT152" s="16"/>
      <c r="CU152" s="16"/>
      <c r="CV152" s="16"/>
      <c r="CW152" s="16"/>
      <c r="CX152" s="16"/>
      <c r="CY152" s="5"/>
      <c r="CZ152" s="16"/>
      <c r="DA152" s="5"/>
      <c r="DB152" s="5"/>
      <c r="DC152" s="5"/>
      <c r="DD152" s="5"/>
      <c r="DE152" s="5"/>
      <c r="DF152" s="5"/>
      <c r="DG152" s="5"/>
      <c r="DH152" s="5"/>
      <c r="DI152" s="16"/>
      <c r="DJ152" s="16"/>
      <c r="DK152" s="16"/>
      <c r="DL152" s="16"/>
      <c r="DM152" s="16"/>
      <c r="DN152" s="16"/>
      <c r="DO152" s="16"/>
      <c r="DP152" s="16"/>
      <c r="DQ152" s="16"/>
      <c r="DR152" s="5"/>
      <c r="DS152" s="16"/>
      <c r="DT152" s="16"/>
      <c r="DU152" s="16"/>
      <c r="DV152" s="16"/>
      <c r="DW152" s="16"/>
      <c r="DX152" s="16"/>
      <c r="DY152" s="16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16"/>
      <c r="EK152" s="16"/>
      <c r="EL152" s="16"/>
      <c r="EM152" s="16"/>
      <c r="EN152" s="16"/>
      <c r="EO152" s="16"/>
      <c r="EP152" s="16"/>
      <c r="EQ152" s="16"/>
      <c r="ER152" s="5"/>
      <c r="ES152" s="16"/>
      <c r="ET152" s="5"/>
      <c r="EU152" s="5"/>
      <c r="EV152" s="5"/>
      <c r="EW152" s="5"/>
      <c r="EX152" s="5"/>
      <c r="EY152" s="5"/>
      <c r="EZ152" s="5"/>
      <c r="FA152" s="5"/>
      <c r="FB152" s="16"/>
      <c r="FC152" s="5"/>
      <c r="FD152" s="5"/>
      <c r="FE152" s="5"/>
      <c r="FF152" s="5"/>
      <c r="FG152" s="5"/>
      <c r="FH152" s="5"/>
      <c r="FI152" s="5"/>
      <c r="FJ152" s="5"/>
      <c r="FK152" s="16"/>
      <c r="FL152" s="5"/>
      <c r="FM152" s="5"/>
      <c r="FN152" s="5"/>
      <c r="FO152" s="5"/>
      <c r="FP152" s="5"/>
      <c r="FQ152" s="5"/>
      <c r="FR152" s="5"/>
      <c r="FS152" s="5"/>
      <c r="FT152" s="16"/>
      <c r="FU152" s="16"/>
      <c r="FV152" s="16"/>
      <c r="FW152" s="16"/>
      <c r="FX152" s="16"/>
      <c r="FY152" s="16"/>
      <c r="FZ152" s="16"/>
      <c r="GA152" s="5"/>
      <c r="GB152" s="16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9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16"/>
      <c r="IX152" s="5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</row>
    <row r="153" spans="1:33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99"/>
      <c r="AR153" s="99"/>
      <c r="AS153" s="5"/>
      <c r="AT153" s="5"/>
      <c r="AU153" s="5"/>
      <c r="AV153" s="5"/>
      <c r="AW153" s="5"/>
      <c r="AX153" s="99"/>
      <c r="AY153" s="99"/>
      <c r="AZ153" s="5"/>
      <c r="BA153" s="5"/>
      <c r="BB153" s="5"/>
      <c r="BC153" s="5"/>
      <c r="BD153" s="5"/>
      <c r="BE153" s="5"/>
      <c r="BF153" s="99"/>
      <c r="BG153" s="99"/>
      <c r="BH153" s="5"/>
      <c r="BI153" s="5"/>
      <c r="BJ153" s="5"/>
      <c r="BK153" s="5"/>
      <c r="BL153" s="5"/>
      <c r="BM153" s="99"/>
      <c r="BN153" s="99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5"/>
      <c r="CQ153" s="16"/>
      <c r="CR153" s="16"/>
      <c r="CS153" s="16"/>
      <c r="CT153" s="16"/>
      <c r="CU153" s="16"/>
      <c r="CV153" s="16"/>
      <c r="CW153" s="16"/>
      <c r="CX153" s="16"/>
      <c r="CY153" s="5"/>
      <c r="CZ153" s="16"/>
      <c r="DA153" s="5"/>
      <c r="DB153" s="5"/>
      <c r="DC153" s="5"/>
      <c r="DD153" s="5"/>
      <c r="DE153" s="5"/>
      <c r="DF153" s="5"/>
      <c r="DG153" s="5"/>
      <c r="DH153" s="5"/>
      <c r="DI153" s="16"/>
      <c r="DJ153" s="16"/>
      <c r="DK153" s="16"/>
      <c r="DL153" s="16"/>
      <c r="DM153" s="16"/>
      <c r="DN153" s="16"/>
      <c r="DO153" s="16"/>
      <c r="DP153" s="16"/>
      <c r="DQ153" s="16"/>
      <c r="DR153" s="5"/>
      <c r="DS153" s="16"/>
      <c r="DT153" s="16"/>
      <c r="DU153" s="16"/>
      <c r="DV153" s="16"/>
      <c r="DW153" s="16"/>
      <c r="DX153" s="16"/>
      <c r="DY153" s="16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16"/>
      <c r="EK153" s="16"/>
      <c r="EL153" s="16"/>
      <c r="EM153" s="16"/>
      <c r="EN153" s="16"/>
      <c r="EO153" s="16"/>
      <c r="EP153" s="16"/>
      <c r="EQ153" s="16"/>
      <c r="ER153" s="5"/>
      <c r="ES153" s="16"/>
      <c r="ET153" s="5"/>
      <c r="EU153" s="5"/>
      <c r="EV153" s="5"/>
      <c r="EW153" s="5"/>
      <c r="EX153" s="5"/>
      <c r="EY153" s="5"/>
      <c r="EZ153" s="5"/>
      <c r="FA153" s="5"/>
      <c r="FB153" s="16"/>
      <c r="FC153" s="5"/>
      <c r="FD153" s="5"/>
      <c r="FE153" s="5"/>
      <c r="FF153" s="5"/>
      <c r="FG153" s="5"/>
      <c r="FH153" s="5"/>
      <c r="FI153" s="5"/>
      <c r="FJ153" s="5"/>
      <c r="FK153" s="16"/>
      <c r="FL153" s="5"/>
      <c r="FM153" s="5"/>
      <c r="FN153" s="5"/>
      <c r="FO153" s="5"/>
      <c r="FP153" s="5"/>
      <c r="FQ153" s="5"/>
      <c r="FR153" s="5"/>
      <c r="FS153" s="5"/>
      <c r="FT153" s="16"/>
      <c r="FU153" s="16"/>
      <c r="FV153" s="16"/>
      <c r="FW153" s="16"/>
      <c r="FX153" s="16"/>
      <c r="FY153" s="16"/>
      <c r="FZ153" s="16"/>
      <c r="GA153" s="5"/>
      <c r="GB153" s="16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9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16"/>
      <c r="IX153" s="5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</row>
    <row r="154" spans="1:33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99"/>
      <c r="AR154" s="99"/>
      <c r="AS154" s="5"/>
      <c r="AT154" s="5"/>
      <c r="AU154" s="5"/>
      <c r="AV154" s="5"/>
      <c r="AW154" s="5"/>
      <c r="AX154" s="99"/>
      <c r="AY154" s="99"/>
      <c r="AZ154" s="5"/>
      <c r="BA154" s="5"/>
      <c r="BB154" s="5"/>
      <c r="BC154" s="5"/>
      <c r="BD154" s="5"/>
      <c r="BE154" s="5"/>
      <c r="BF154" s="99"/>
      <c r="BG154" s="99"/>
      <c r="BH154" s="5"/>
      <c r="BI154" s="5"/>
      <c r="BJ154" s="5"/>
      <c r="BK154" s="5"/>
      <c r="BL154" s="5"/>
      <c r="BM154" s="99"/>
      <c r="BN154" s="99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5"/>
      <c r="CQ154" s="16"/>
      <c r="CR154" s="16"/>
      <c r="CS154" s="16"/>
      <c r="CT154" s="16"/>
      <c r="CU154" s="16"/>
      <c r="CV154" s="16"/>
      <c r="CW154" s="16"/>
      <c r="CX154" s="16"/>
      <c r="CY154" s="5"/>
      <c r="CZ154" s="16"/>
      <c r="DA154" s="5"/>
      <c r="DB154" s="5"/>
      <c r="DC154" s="5"/>
      <c r="DD154" s="5"/>
      <c r="DE154" s="5"/>
      <c r="DF154" s="5"/>
      <c r="DG154" s="5"/>
      <c r="DH154" s="5"/>
      <c r="DI154" s="16"/>
      <c r="DJ154" s="16"/>
      <c r="DK154" s="16"/>
      <c r="DL154" s="16"/>
      <c r="DM154" s="16"/>
      <c r="DN154" s="16"/>
      <c r="DO154" s="16"/>
      <c r="DP154" s="16"/>
      <c r="DQ154" s="16"/>
      <c r="DR154" s="5"/>
      <c r="DS154" s="16"/>
      <c r="DT154" s="16"/>
      <c r="DU154" s="16"/>
      <c r="DV154" s="16"/>
      <c r="DW154" s="16"/>
      <c r="DX154" s="16"/>
      <c r="DY154" s="16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16"/>
      <c r="EK154" s="16"/>
      <c r="EL154" s="16"/>
      <c r="EM154" s="16"/>
      <c r="EN154" s="16"/>
      <c r="EO154" s="16"/>
      <c r="EP154" s="16"/>
      <c r="EQ154" s="16"/>
      <c r="ER154" s="5"/>
      <c r="ES154" s="16"/>
      <c r="ET154" s="5"/>
      <c r="EU154" s="5"/>
      <c r="EV154" s="5"/>
      <c r="EW154" s="5"/>
      <c r="EX154" s="5"/>
      <c r="EY154" s="5"/>
      <c r="EZ154" s="5"/>
      <c r="FA154" s="5"/>
      <c r="FB154" s="16"/>
      <c r="FC154" s="5"/>
      <c r="FD154" s="5"/>
      <c r="FE154" s="5"/>
      <c r="FF154" s="5"/>
      <c r="FG154" s="5"/>
      <c r="FH154" s="5"/>
      <c r="FI154" s="5"/>
      <c r="FJ154" s="5"/>
      <c r="FK154" s="16"/>
      <c r="FL154" s="5"/>
      <c r="FM154" s="5"/>
      <c r="FN154" s="5"/>
      <c r="FO154" s="5"/>
      <c r="FP154" s="5"/>
      <c r="FQ154" s="5"/>
      <c r="FR154" s="5"/>
      <c r="FS154" s="5"/>
      <c r="FT154" s="16"/>
      <c r="FU154" s="16"/>
      <c r="FV154" s="16"/>
      <c r="FW154" s="16"/>
      <c r="FX154" s="16"/>
      <c r="FY154" s="16"/>
      <c r="FZ154" s="16"/>
      <c r="GA154" s="5"/>
      <c r="GB154" s="16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9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16"/>
      <c r="IX154" s="5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</row>
    <row r="155" spans="1:33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99"/>
      <c r="AR155" s="99"/>
      <c r="AS155" s="5"/>
      <c r="AT155" s="5"/>
      <c r="AU155" s="5"/>
      <c r="AV155" s="5"/>
      <c r="AW155" s="5"/>
      <c r="AX155" s="99"/>
      <c r="AY155" s="99"/>
      <c r="AZ155" s="5"/>
      <c r="BA155" s="5"/>
      <c r="BB155" s="5"/>
      <c r="BC155" s="5"/>
      <c r="BD155" s="5"/>
      <c r="BE155" s="5"/>
      <c r="BF155" s="99"/>
      <c r="BG155" s="99"/>
      <c r="BH155" s="5"/>
      <c r="BI155" s="5"/>
      <c r="BJ155" s="5"/>
      <c r="BK155" s="5"/>
      <c r="BL155" s="5"/>
      <c r="BM155" s="99"/>
      <c r="BN155" s="99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5"/>
      <c r="CQ155" s="16"/>
      <c r="CR155" s="16"/>
      <c r="CS155" s="16"/>
      <c r="CT155" s="16"/>
      <c r="CU155" s="16"/>
      <c r="CV155" s="16"/>
      <c r="CW155" s="16"/>
      <c r="CX155" s="16"/>
      <c r="CY155" s="5"/>
      <c r="CZ155" s="16"/>
      <c r="DA155" s="5"/>
      <c r="DB155" s="5"/>
      <c r="DC155" s="5"/>
      <c r="DD155" s="5"/>
      <c r="DE155" s="5"/>
      <c r="DF155" s="5"/>
      <c r="DG155" s="5"/>
      <c r="DH155" s="5"/>
      <c r="DI155" s="16"/>
      <c r="DJ155" s="16"/>
      <c r="DK155" s="16"/>
      <c r="DL155" s="16"/>
      <c r="DM155" s="16"/>
      <c r="DN155" s="16"/>
      <c r="DO155" s="16"/>
      <c r="DP155" s="16"/>
      <c r="DQ155" s="16"/>
      <c r="DR155" s="5"/>
      <c r="DS155" s="16"/>
      <c r="DT155" s="16"/>
      <c r="DU155" s="16"/>
      <c r="DV155" s="16"/>
      <c r="DW155" s="16"/>
      <c r="DX155" s="16"/>
      <c r="DY155" s="16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16"/>
      <c r="EK155" s="16"/>
      <c r="EL155" s="16"/>
      <c r="EM155" s="16"/>
      <c r="EN155" s="16"/>
      <c r="EO155" s="16"/>
      <c r="EP155" s="16"/>
      <c r="EQ155" s="16"/>
      <c r="ER155" s="5"/>
      <c r="ES155" s="16"/>
      <c r="ET155" s="5"/>
      <c r="EU155" s="5"/>
      <c r="EV155" s="5"/>
      <c r="EW155" s="5"/>
      <c r="EX155" s="5"/>
      <c r="EY155" s="5"/>
      <c r="EZ155" s="5"/>
      <c r="FA155" s="5"/>
      <c r="FB155" s="16"/>
      <c r="FC155" s="5"/>
      <c r="FD155" s="5"/>
      <c r="FE155" s="5"/>
      <c r="FF155" s="5"/>
      <c r="FG155" s="5"/>
      <c r="FH155" s="5"/>
      <c r="FI155" s="5"/>
      <c r="FJ155" s="5"/>
      <c r="FK155" s="16"/>
      <c r="FL155" s="5"/>
      <c r="FM155" s="5"/>
      <c r="FN155" s="5"/>
      <c r="FO155" s="5"/>
      <c r="FP155" s="5"/>
      <c r="FQ155" s="5"/>
      <c r="FR155" s="5"/>
      <c r="FS155" s="5"/>
      <c r="FT155" s="16"/>
      <c r="FU155" s="16"/>
      <c r="FV155" s="16"/>
      <c r="FW155" s="16"/>
      <c r="FX155" s="16"/>
      <c r="FY155" s="16"/>
      <c r="FZ155" s="16"/>
      <c r="GA155" s="5"/>
      <c r="GB155" s="16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9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16"/>
      <c r="IX155" s="5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</row>
    <row r="156" spans="1:33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99"/>
      <c r="AR156" s="99"/>
      <c r="AS156" s="5"/>
      <c r="AT156" s="5"/>
      <c r="AU156" s="5"/>
      <c r="AV156" s="5"/>
      <c r="AW156" s="5"/>
      <c r="AX156" s="99"/>
      <c r="AY156" s="99"/>
      <c r="AZ156" s="5"/>
      <c r="BA156" s="5"/>
      <c r="BB156" s="5"/>
      <c r="BC156" s="5"/>
      <c r="BD156" s="5"/>
      <c r="BE156" s="5"/>
      <c r="BF156" s="99"/>
      <c r="BG156" s="99"/>
      <c r="BH156" s="5"/>
      <c r="BI156" s="5"/>
      <c r="BJ156" s="5"/>
      <c r="BK156" s="5"/>
      <c r="BL156" s="5"/>
      <c r="BM156" s="99"/>
      <c r="BN156" s="99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5"/>
      <c r="CQ156" s="16"/>
      <c r="CR156" s="16"/>
      <c r="CS156" s="16"/>
      <c r="CT156" s="16"/>
      <c r="CU156" s="16"/>
      <c r="CV156" s="16"/>
      <c r="CW156" s="16"/>
      <c r="CX156" s="16"/>
      <c r="CY156" s="5"/>
      <c r="CZ156" s="16"/>
      <c r="DA156" s="5"/>
      <c r="DB156" s="5"/>
      <c r="DC156" s="5"/>
      <c r="DD156" s="5"/>
      <c r="DE156" s="5"/>
      <c r="DF156" s="5"/>
      <c r="DG156" s="5"/>
      <c r="DH156" s="5"/>
      <c r="DI156" s="16"/>
      <c r="DJ156" s="16"/>
      <c r="DK156" s="16"/>
      <c r="DL156" s="16"/>
      <c r="DM156" s="16"/>
      <c r="DN156" s="16"/>
      <c r="DO156" s="16"/>
      <c r="DP156" s="16"/>
      <c r="DQ156" s="16"/>
      <c r="DR156" s="5"/>
      <c r="DS156" s="16"/>
      <c r="DT156" s="16"/>
      <c r="DU156" s="16"/>
      <c r="DV156" s="16"/>
      <c r="DW156" s="16"/>
      <c r="DX156" s="16"/>
      <c r="DY156" s="16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16"/>
      <c r="EK156" s="16"/>
      <c r="EL156" s="16"/>
      <c r="EM156" s="16"/>
      <c r="EN156" s="16"/>
      <c r="EO156" s="16"/>
      <c r="EP156" s="16"/>
      <c r="EQ156" s="16"/>
      <c r="ER156" s="5"/>
      <c r="ES156" s="16"/>
      <c r="ET156" s="5"/>
      <c r="EU156" s="5"/>
      <c r="EV156" s="5"/>
      <c r="EW156" s="5"/>
      <c r="EX156" s="5"/>
      <c r="EY156" s="5"/>
      <c r="EZ156" s="5"/>
      <c r="FA156" s="5"/>
      <c r="FB156" s="16"/>
      <c r="FC156" s="5"/>
      <c r="FD156" s="5"/>
      <c r="FE156" s="5"/>
      <c r="FF156" s="5"/>
      <c r="FG156" s="5"/>
      <c r="FH156" s="5"/>
      <c r="FI156" s="5"/>
      <c r="FJ156" s="5"/>
      <c r="FK156" s="16"/>
      <c r="FL156" s="5"/>
      <c r="FM156" s="5"/>
      <c r="FN156" s="5"/>
      <c r="FO156" s="5"/>
      <c r="FP156" s="5"/>
      <c r="FQ156" s="5"/>
      <c r="FR156" s="5"/>
      <c r="FS156" s="5"/>
      <c r="FT156" s="16"/>
      <c r="FU156" s="16"/>
      <c r="FV156" s="16"/>
      <c r="FW156" s="16"/>
      <c r="FX156" s="16"/>
      <c r="FY156" s="16"/>
      <c r="FZ156" s="16"/>
      <c r="GA156" s="5"/>
      <c r="GB156" s="16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9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16"/>
      <c r="IX156" s="5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</row>
    <row r="157" spans="1:33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99"/>
      <c r="AR157" s="99"/>
      <c r="AS157" s="5"/>
      <c r="AT157" s="5"/>
      <c r="AU157" s="5"/>
      <c r="AV157" s="5"/>
      <c r="AW157" s="5"/>
      <c r="AX157" s="99"/>
      <c r="AY157" s="99"/>
      <c r="AZ157" s="5"/>
      <c r="BA157" s="5"/>
      <c r="BB157" s="5"/>
      <c r="BC157" s="5"/>
      <c r="BD157" s="5"/>
      <c r="BE157" s="5"/>
      <c r="BF157" s="99"/>
      <c r="BG157" s="99"/>
      <c r="BH157" s="5"/>
      <c r="BI157" s="5"/>
      <c r="BJ157" s="5"/>
      <c r="BK157" s="5"/>
      <c r="BL157" s="5"/>
      <c r="BM157" s="99"/>
      <c r="BN157" s="99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5"/>
      <c r="CQ157" s="16"/>
      <c r="CR157" s="16"/>
      <c r="CS157" s="16"/>
      <c r="CT157" s="16"/>
      <c r="CU157" s="16"/>
      <c r="CV157" s="16"/>
      <c r="CW157" s="16"/>
      <c r="CX157" s="16"/>
      <c r="CY157" s="5"/>
      <c r="CZ157" s="16"/>
      <c r="DA157" s="5"/>
      <c r="DB157" s="5"/>
      <c r="DC157" s="5"/>
      <c r="DD157" s="5"/>
      <c r="DE157" s="5"/>
      <c r="DF157" s="5"/>
      <c r="DG157" s="5"/>
      <c r="DH157" s="5"/>
      <c r="DI157" s="16"/>
      <c r="DJ157" s="16"/>
      <c r="DK157" s="16"/>
      <c r="DL157" s="16"/>
      <c r="DM157" s="16"/>
      <c r="DN157" s="16"/>
      <c r="DO157" s="16"/>
      <c r="DP157" s="16"/>
      <c r="DQ157" s="16"/>
      <c r="DR157" s="5"/>
      <c r="DS157" s="16"/>
      <c r="DT157" s="16"/>
      <c r="DU157" s="16"/>
      <c r="DV157" s="16"/>
      <c r="DW157" s="16"/>
      <c r="DX157" s="16"/>
      <c r="DY157" s="16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16"/>
      <c r="EK157" s="16"/>
      <c r="EL157" s="16"/>
      <c r="EM157" s="16"/>
      <c r="EN157" s="16"/>
      <c r="EO157" s="16"/>
      <c r="EP157" s="16"/>
      <c r="EQ157" s="16"/>
      <c r="ER157" s="5"/>
      <c r="ES157" s="16"/>
      <c r="ET157" s="5"/>
      <c r="EU157" s="5"/>
      <c r="EV157" s="5"/>
      <c r="EW157" s="5"/>
      <c r="EX157" s="5"/>
      <c r="EY157" s="5"/>
      <c r="EZ157" s="5"/>
      <c r="FA157" s="5"/>
      <c r="FB157" s="16"/>
      <c r="FC157" s="5"/>
      <c r="FD157" s="5"/>
      <c r="FE157" s="5"/>
      <c r="FF157" s="5"/>
      <c r="FG157" s="5"/>
      <c r="FH157" s="5"/>
      <c r="FI157" s="5"/>
      <c r="FJ157" s="5"/>
      <c r="FK157" s="16"/>
      <c r="FL157" s="5"/>
      <c r="FM157" s="5"/>
      <c r="FN157" s="5"/>
      <c r="FO157" s="5"/>
      <c r="FP157" s="5"/>
      <c r="FQ157" s="5"/>
      <c r="FR157" s="5"/>
      <c r="FS157" s="5"/>
      <c r="FT157" s="16"/>
      <c r="FU157" s="16"/>
      <c r="FV157" s="16"/>
      <c r="FW157" s="16"/>
      <c r="FX157" s="16"/>
      <c r="FY157" s="16"/>
      <c r="FZ157" s="16"/>
      <c r="GA157" s="5"/>
      <c r="GB157" s="16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9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16"/>
      <c r="IX157" s="5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</row>
    <row r="158" spans="1:33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99"/>
      <c r="AR158" s="99"/>
      <c r="AS158" s="5"/>
      <c r="AT158" s="5"/>
      <c r="AU158" s="5"/>
      <c r="AV158" s="5"/>
      <c r="AW158" s="5"/>
      <c r="AX158" s="99"/>
      <c r="AY158" s="99"/>
      <c r="AZ158" s="5"/>
      <c r="BA158" s="5"/>
      <c r="BB158" s="5"/>
      <c r="BC158" s="5"/>
      <c r="BD158" s="5"/>
      <c r="BE158" s="5"/>
      <c r="BF158" s="99"/>
      <c r="BG158" s="99"/>
      <c r="BH158" s="5"/>
      <c r="BI158" s="5"/>
      <c r="BJ158" s="5"/>
      <c r="BK158" s="5"/>
      <c r="BL158" s="5"/>
      <c r="BM158" s="99"/>
      <c r="BN158" s="99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5"/>
      <c r="CQ158" s="16"/>
      <c r="CR158" s="16"/>
      <c r="CS158" s="16"/>
      <c r="CT158" s="16"/>
      <c r="CU158" s="16"/>
      <c r="CV158" s="16"/>
      <c r="CW158" s="16"/>
      <c r="CX158" s="16"/>
      <c r="CY158" s="5"/>
      <c r="CZ158" s="16"/>
      <c r="DA158" s="5"/>
      <c r="DB158" s="5"/>
      <c r="DC158" s="5"/>
      <c r="DD158" s="5"/>
      <c r="DE158" s="5"/>
      <c r="DF158" s="5"/>
      <c r="DG158" s="5"/>
      <c r="DH158" s="5"/>
      <c r="DI158" s="16"/>
      <c r="DJ158" s="16"/>
      <c r="DK158" s="16"/>
      <c r="DL158" s="16"/>
      <c r="DM158" s="16"/>
      <c r="DN158" s="16"/>
      <c r="DO158" s="16"/>
      <c r="DP158" s="16"/>
      <c r="DQ158" s="16"/>
      <c r="DR158" s="5"/>
      <c r="DS158" s="16"/>
      <c r="DT158" s="16"/>
      <c r="DU158" s="16"/>
      <c r="DV158" s="16"/>
      <c r="DW158" s="16"/>
      <c r="DX158" s="16"/>
      <c r="DY158" s="16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16"/>
      <c r="EK158" s="16"/>
      <c r="EL158" s="16"/>
      <c r="EM158" s="16"/>
      <c r="EN158" s="16"/>
      <c r="EO158" s="16"/>
      <c r="EP158" s="16"/>
      <c r="EQ158" s="16"/>
      <c r="ER158" s="5"/>
      <c r="ES158" s="16"/>
      <c r="ET158" s="5"/>
      <c r="EU158" s="5"/>
      <c r="EV158" s="5"/>
      <c r="EW158" s="5"/>
      <c r="EX158" s="5"/>
      <c r="EY158" s="5"/>
      <c r="EZ158" s="5"/>
      <c r="FA158" s="5"/>
      <c r="FB158" s="16"/>
      <c r="FC158" s="5"/>
      <c r="FD158" s="5"/>
      <c r="FE158" s="5"/>
      <c r="FF158" s="5"/>
      <c r="FG158" s="5"/>
      <c r="FH158" s="5"/>
      <c r="FI158" s="5"/>
      <c r="FJ158" s="5"/>
      <c r="FK158" s="16"/>
      <c r="FL158" s="5"/>
      <c r="FM158" s="5"/>
      <c r="FN158" s="5"/>
      <c r="FO158" s="5"/>
      <c r="FP158" s="5"/>
      <c r="FQ158" s="5"/>
      <c r="FR158" s="5"/>
      <c r="FS158" s="5"/>
      <c r="FT158" s="16"/>
      <c r="FU158" s="16"/>
      <c r="FV158" s="16"/>
      <c r="FW158" s="16"/>
      <c r="FX158" s="16"/>
      <c r="FY158" s="16"/>
      <c r="FZ158" s="16"/>
      <c r="GA158" s="5"/>
      <c r="GB158" s="16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9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16"/>
      <c r="IX158" s="5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</row>
    <row r="159" spans="1:33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99"/>
      <c r="AR159" s="99"/>
      <c r="AS159" s="5"/>
      <c r="AT159" s="5"/>
      <c r="AU159" s="5"/>
      <c r="AV159" s="5"/>
      <c r="AW159" s="5"/>
      <c r="AX159" s="99"/>
      <c r="AY159" s="99"/>
      <c r="AZ159" s="5"/>
      <c r="BA159" s="5"/>
      <c r="BB159" s="5"/>
      <c r="BC159" s="5"/>
      <c r="BD159" s="5"/>
      <c r="BE159" s="5"/>
      <c r="BF159" s="99"/>
      <c r="BG159" s="99"/>
      <c r="BH159" s="5"/>
      <c r="BI159" s="5"/>
      <c r="BJ159" s="5"/>
      <c r="BK159" s="5"/>
      <c r="BL159" s="5"/>
      <c r="BM159" s="99"/>
      <c r="BN159" s="99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5"/>
      <c r="CQ159" s="16"/>
      <c r="CR159" s="16"/>
      <c r="CS159" s="16"/>
      <c r="CT159" s="16"/>
      <c r="CU159" s="16"/>
      <c r="CV159" s="16"/>
      <c r="CW159" s="16"/>
      <c r="CX159" s="16"/>
      <c r="CY159" s="5"/>
      <c r="CZ159" s="16"/>
      <c r="DA159" s="5"/>
      <c r="DB159" s="5"/>
      <c r="DC159" s="5"/>
      <c r="DD159" s="5"/>
      <c r="DE159" s="5"/>
      <c r="DF159" s="5"/>
      <c r="DG159" s="5"/>
      <c r="DH159" s="5"/>
      <c r="DI159" s="16"/>
      <c r="DJ159" s="16"/>
      <c r="DK159" s="16"/>
      <c r="DL159" s="16"/>
      <c r="DM159" s="16"/>
      <c r="DN159" s="16"/>
      <c r="DO159" s="16"/>
      <c r="DP159" s="16"/>
      <c r="DQ159" s="16"/>
      <c r="DR159" s="5"/>
      <c r="DS159" s="16"/>
      <c r="DT159" s="16"/>
      <c r="DU159" s="16"/>
      <c r="DV159" s="16"/>
      <c r="DW159" s="16"/>
      <c r="DX159" s="16"/>
      <c r="DY159" s="16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16"/>
      <c r="EK159" s="16"/>
      <c r="EL159" s="16"/>
      <c r="EM159" s="16"/>
      <c r="EN159" s="16"/>
      <c r="EO159" s="16"/>
      <c r="EP159" s="16"/>
      <c r="EQ159" s="16"/>
      <c r="ER159" s="5"/>
      <c r="ES159" s="16"/>
      <c r="ET159" s="5"/>
      <c r="EU159" s="5"/>
      <c r="EV159" s="5"/>
      <c r="EW159" s="5"/>
      <c r="EX159" s="5"/>
      <c r="EY159" s="5"/>
      <c r="EZ159" s="5"/>
      <c r="FA159" s="5"/>
      <c r="FB159" s="16"/>
      <c r="FC159" s="5"/>
      <c r="FD159" s="5"/>
      <c r="FE159" s="5"/>
      <c r="FF159" s="5"/>
      <c r="FG159" s="5"/>
      <c r="FH159" s="5"/>
      <c r="FI159" s="5"/>
      <c r="FJ159" s="5"/>
      <c r="FK159" s="16"/>
      <c r="FL159" s="5"/>
      <c r="FM159" s="5"/>
      <c r="FN159" s="5"/>
      <c r="FO159" s="5"/>
      <c r="FP159" s="5"/>
      <c r="FQ159" s="5"/>
      <c r="FR159" s="5"/>
      <c r="FS159" s="5"/>
      <c r="FT159" s="16"/>
      <c r="FU159" s="16"/>
      <c r="FV159" s="16"/>
      <c r="FW159" s="16"/>
      <c r="FX159" s="16"/>
      <c r="FY159" s="16"/>
      <c r="FZ159" s="16"/>
      <c r="GA159" s="5"/>
      <c r="GB159" s="16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9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16"/>
      <c r="IX159" s="5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</row>
    <row r="160" spans="1:33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99"/>
      <c r="AR160" s="99"/>
      <c r="AS160" s="5"/>
      <c r="AT160" s="5"/>
      <c r="AU160" s="5"/>
      <c r="AV160" s="5"/>
      <c r="AW160" s="5"/>
      <c r="AX160" s="99"/>
      <c r="AY160" s="99"/>
      <c r="AZ160" s="5"/>
      <c r="BA160" s="5"/>
      <c r="BB160" s="5"/>
      <c r="BC160" s="5"/>
      <c r="BD160" s="5"/>
      <c r="BE160" s="5"/>
      <c r="BF160" s="99"/>
      <c r="BG160" s="99"/>
      <c r="BH160" s="5"/>
      <c r="BI160" s="5"/>
      <c r="BJ160" s="5"/>
      <c r="BK160" s="5"/>
      <c r="BL160" s="5"/>
      <c r="BM160" s="99"/>
      <c r="BN160" s="99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5"/>
      <c r="CQ160" s="16"/>
      <c r="CR160" s="16"/>
      <c r="CS160" s="16"/>
      <c r="CT160" s="16"/>
      <c r="CU160" s="16"/>
      <c r="CV160" s="16"/>
      <c r="CW160" s="16"/>
      <c r="CX160" s="16"/>
      <c r="CY160" s="5"/>
      <c r="CZ160" s="16"/>
      <c r="DA160" s="5"/>
      <c r="DB160" s="5"/>
      <c r="DC160" s="5"/>
      <c r="DD160" s="5"/>
      <c r="DE160" s="5"/>
      <c r="DF160" s="5"/>
      <c r="DG160" s="5"/>
      <c r="DH160" s="5"/>
      <c r="DI160" s="16"/>
      <c r="DJ160" s="16"/>
      <c r="DK160" s="16"/>
      <c r="DL160" s="16"/>
      <c r="DM160" s="16"/>
      <c r="DN160" s="16"/>
      <c r="DO160" s="16"/>
      <c r="DP160" s="16"/>
      <c r="DQ160" s="16"/>
      <c r="DR160" s="5"/>
      <c r="DS160" s="16"/>
      <c r="DT160" s="16"/>
      <c r="DU160" s="16"/>
      <c r="DV160" s="16"/>
      <c r="DW160" s="16"/>
      <c r="DX160" s="16"/>
      <c r="DY160" s="16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16"/>
      <c r="EK160" s="16"/>
      <c r="EL160" s="16"/>
      <c r="EM160" s="16"/>
      <c r="EN160" s="16"/>
      <c r="EO160" s="16"/>
      <c r="EP160" s="16"/>
      <c r="EQ160" s="16"/>
      <c r="ER160" s="5"/>
      <c r="ES160" s="16"/>
      <c r="ET160" s="5"/>
      <c r="EU160" s="5"/>
      <c r="EV160" s="5"/>
      <c r="EW160" s="5"/>
      <c r="EX160" s="5"/>
      <c r="EY160" s="5"/>
      <c r="EZ160" s="5"/>
      <c r="FA160" s="5"/>
      <c r="FB160" s="16"/>
      <c r="FC160" s="5"/>
      <c r="FD160" s="5"/>
      <c r="FE160" s="5"/>
      <c r="FF160" s="5"/>
      <c r="FG160" s="5"/>
      <c r="FH160" s="5"/>
      <c r="FI160" s="5"/>
      <c r="FJ160" s="5"/>
      <c r="FK160" s="16"/>
      <c r="FL160" s="5"/>
      <c r="FM160" s="5"/>
      <c r="FN160" s="5"/>
      <c r="FO160" s="5"/>
      <c r="FP160" s="5"/>
      <c r="FQ160" s="5"/>
      <c r="FR160" s="5"/>
      <c r="FS160" s="5"/>
      <c r="FT160" s="16"/>
      <c r="FU160" s="16"/>
      <c r="FV160" s="16"/>
      <c r="FW160" s="16"/>
      <c r="FX160" s="16"/>
      <c r="FY160" s="16"/>
      <c r="FZ160" s="16"/>
      <c r="GA160" s="5"/>
      <c r="GB160" s="16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9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16"/>
      <c r="IX160" s="5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</row>
    <row r="161" spans="1:33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99"/>
      <c r="AR161" s="99"/>
      <c r="AS161" s="5"/>
      <c r="AT161" s="5"/>
      <c r="AU161" s="5"/>
      <c r="AV161" s="5"/>
      <c r="AW161" s="5"/>
      <c r="AX161" s="99"/>
      <c r="AY161" s="99"/>
      <c r="AZ161" s="5"/>
      <c r="BA161" s="5"/>
      <c r="BB161" s="5"/>
      <c r="BC161" s="5"/>
      <c r="BD161" s="5"/>
      <c r="BE161" s="5"/>
      <c r="BF161" s="99"/>
      <c r="BG161" s="99"/>
      <c r="BH161" s="5"/>
      <c r="BI161" s="5"/>
      <c r="BJ161" s="5"/>
      <c r="BK161" s="5"/>
      <c r="BL161" s="5"/>
      <c r="BM161" s="99"/>
      <c r="BN161" s="99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5"/>
      <c r="CQ161" s="16"/>
      <c r="CR161" s="16"/>
      <c r="CS161" s="16"/>
      <c r="CT161" s="16"/>
      <c r="CU161" s="16"/>
      <c r="CV161" s="16"/>
      <c r="CW161" s="16"/>
      <c r="CX161" s="16"/>
      <c r="CY161" s="5"/>
      <c r="CZ161" s="16"/>
      <c r="DA161" s="5"/>
      <c r="DB161" s="5"/>
      <c r="DC161" s="5"/>
      <c r="DD161" s="5"/>
      <c r="DE161" s="5"/>
      <c r="DF161" s="5"/>
      <c r="DG161" s="5"/>
      <c r="DH161" s="5"/>
      <c r="DI161" s="16"/>
      <c r="DJ161" s="16"/>
      <c r="DK161" s="16"/>
      <c r="DL161" s="16"/>
      <c r="DM161" s="16"/>
      <c r="DN161" s="16"/>
      <c r="DO161" s="16"/>
      <c r="DP161" s="16"/>
      <c r="DQ161" s="16"/>
      <c r="DR161" s="5"/>
      <c r="DS161" s="16"/>
      <c r="DT161" s="16"/>
      <c r="DU161" s="16"/>
      <c r="DV161" s="16"/>
      <c r="DW161" s="16"/>
      <c r="DX161" s="16"/>
      <c r="DY161" s="16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16"/>
      <c r="EK161" s="16"/>
      <c r="EL161" s="16"/>
      <c r="EM161" s="16"/>
      <c r="EN161" s="16"/>
      <c r="EO161" s="16"/>
      <c r="EP161" s="16"/>
      <c r="EQ161" s="16"/>
      <c r="ER161" s="5"/>
      <c r="ES161" s="16"/>
      <c r="ET161" s="5"/>
      <c r="EU161" s="5"/>
      <c r="EV161" s="5"/>
      <c r="EW161" s="5"/>
      <c r="EX161" s="5"/>
      <c r="EY161" s="5"/>
      <c r="EZ161" s="5"/>
      <c r="FA161" s="5"/>
      <c r="FB161" s="16"/>
      <c r="FC161" s="5"/>
      <c r="FD161" s="5"/>
      <c r="FE161" s="5"/>
      <c r="FF161" s="5"/>
      <c r="FG161" s="5"/>
      <c r="FH161" s="5"/>
      <c r="FI161" s="5"/>
      <c r="FJ161" s="5"/>
      <c r="FK161" s="16"/>
      <c r="FL161" s="5"/>
      <c r="FM161" s="5"/>
      <c r="FN161" s="5"/>
      <c r="FO161" s="5"/>
      <c r="FP161" s="5"/>
      <c r="FQ161" s="5"/>
      <c r="FR161" s="5"/>
      <c r="FS161" s="5"/>
      <c r="FT161" s="16"/>
      <c r="FU161" s="16"/>
      <c r="FV161" s="16"/>
      <c r="FW161" s="16"/>
      <c r="FX161" s="16"/>
      <c r="FY161" s="16"/>
      <c r="FZ161" s="16"/>
      <c r="GA161" s="5"/>
      <c r="GB161" s="16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9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16"/>
      <c r="IX161" s="5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</row>
    <row r="162" spans="1:33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99"/>
      <c r="AR162" s="99"/>
      <c r="AS162" s="5"/>
      <c r="AT162" s="5"/>
      <c r="AU162" s="5"/>
      <c r="AV162" s="5"/>
      <c r="AW162" s="5"/>
      <c r="AX162" s="99"/>
      <c r="AY162" s="99"/>
      <c r="AZ162" s="5"/>
      <c r="BA162" s="5"/>
      <c r="BB162" s="5"/>
      <c r="BC162" s="5"/>
      <c r="BD162" s="5"/>
      <c r="BE162" s="5"/>
      <c r="BF162" s="99"/>
      <c r="BG162" s="99"/>
      <c r="BH162" s="5"/>
      <c r="BI162" s="5"/>
      <c r="BJ162" s="5"/>
      <c r="BK162" s="5"/>
      <c r="BL162" s="5"/>
      <c r="BM162" s="99"/>
      <c r="BN162" s="99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5"/>
      <c r="CQ162" s="16"/>
      <c r="CR162" s="16"/>
      <c r="CS162" s="16"/>
      <c r="CT162" s="16"/>
      <c r="CU162" s="16"/>
      <c r="CV162" s="16"/>
      <c r="CW162" s="16"/>
      <c r="CX162" s="16"/>
      <c r="CY162" s="5"/>
      <c r="CZ162" s="16"/>
      <c r="DA162" s="5"/>
      <c r="DB162" s="5"/>
      <c r="DC162" s="5"/>
      <c r="DD162" s="5"/>
      <c r="DE162" s="5"/>
      <c r="DF162" s="5"/>
      <c r="DG162" s="5"/>
      <c r="DH162" s="5"/>
      <c r="DI162" s="16"/>
      <c r="DJ162" s="16"/>
      <c r="DK162" s="16"/>
      <c r="DL162" s="16"/>
      <c r="DM162" s="16"/>
      <c r="DN162" s="16"/>
      <c r="DO162" s="16"/>
      <c r="DP162" s="16"/>
      <c r="DQ162" s="16"/>
      <c r="DR162" s="5"/>
      <c r="DS162" s="16"/>
      <c r="DT162" s="16"/>
      <c r="DU162" s="16"/>
      <c r="DV162" s="16"/>
      <c r="DW162" s="16"/>
      <c r="DX162" s="16"/>
      <c r="DY162" s="16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16"/>
      <c r="EK162" s="16"/>
      <c r="EL162" s="16"/>
      <c r="EM162" s="16"/>
      <c r="EN162" s="16"/>
      <c r="EO162" s="16"/>
      <c r="EP162" s="16"/>
      <c r="EQ162" s="16"/>
      <c r="ER162" s="5"/>
      <c r="ES162" s="16"/>
      <c r="ET162" s="5"/>
      <c r="EU162" s="5"/>
      <c r="EV162" s="5"/>
      <c r="EW162" s="5"/>
      <c r="EX162" s="5"/>
      <c r="EY162" s="5"/>
      <c r="EZ162" s="5"/>
      <c r="FA162" s="5"/>
      <c r="FB162" s="16"/>
      <c r="FC162" s="5"/>
      <c r="FD162" s="5"/>
      <c r="FE162" s="5"/>
      <c r="FF162" s="5"/>
      <c r="FG162" s="5"/>
      <c r="FH162" s="5"/>
      <c r="FI162" s="5"/>
      <c r="FJ162" s="5"/>
      <c r="FK162" s="16"/>
      <c r="FL162" s="5"/>
      <c r="FM162" s="5"/>
      <c r="FN162" s="5"/>
      <c r="FO162" s="5"/>
      <c r="FP162" s="5"/>
      <c r="FQ162" s="5"/>
      <c r="FR162" s="5"/>
      <c r="FS162" s="5"/>
      <c r="FT162" s="16"/>
      <c r="FU162" s="16"/>
      <c r="FV162" s="16"/>
      <c r="FW162" s="16"/>
      <c r="FX162" s="16"/>
      <c r="FY162" s="16"/>
      <c r="FZ162" s="16"/>
      <c r="GA162" s="5"/>
      <c r="GB162" s="16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9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16"/>
      <c r="IX162" s="5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</row>
    <row r="163" spans="1:33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99"/>
      <c r="AR163" s="99"/>
      <c r="AS163" s="5"/>
      <c r="AT163" s="5"/>
      <c r="AU163" s="5"/>
      <c r="AV163" s="5"/>
      <c r="AW163" s="5"/>
      <c r="AX163" s="99"/>
      <c r="AY163" s="99"/>
      <c r="AZ163" s="5"/>
      <c r="BA163" s="5"/>
      <c r="BB163" s="5"/>
      <c r="BC163" s="5"/>
      <c r="BD163" s="5"/>
      <c r="BE163" s="5"/>
      <c r="BF163" s="99"/>
      <c r="BG163" s="99"/>
      <c r="BH163" s="5"/>
      <c r="BI163" s="5"/>
      <c r="BJ163" s="5"/>
      <c r="BK163" s="5"/>
      <c r="BL163" s="5"/>
      <c r="BM163" s="99"/>
      <c r="BN163" s="99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5"/>
      <c r="CQ163" s="16"/>
      <c r="CR163" s="16"/>
      <c r="CS163" s="16"/>
      <c r="CT163" s="16"/>
      <c r="CU163" s="16"/>
      <c r="CV163" s="16"/>
      <c r="CW163" s="16"/>
      <c r="CX163" s="16"/>
      <c r="CY163" s="5"/>
      <c r="CZ163" s="16"/>
      <c r="DA163" s="5"/>
      <c r="DB163" s="5"/>
      <c r="DC163" s="5"/>
      <c r="DD163" s="5"/>
      <c r="DE163" s="5"/>
      <c r="DF163" s="5"/>
      <c r="DG163" s="5"/>
      <c r="DH163" s="5"/>
      <c r="DI163" s="16"/>
      <c r="DJ163" s="16"/>
      <c r="DK163" s="16"/>
      <c r="DL163" s="16"/>
      <c r="DM163" s="16"/>
      <c r="DN163" s="16"/>
      <c r="DO163" s="16"/>
      <c r="DP163" s="16"/>
      <c r="DQ163" s="16"/>
      <c r="DR163" s="5"/>
      <c r="DS163" s="16"/>
      <c r="DT163" s="16"/>
      <c r="DU163" s="16"/>
      <c r="DV163" s="16"/>
      <c r="DW163" s="16"/>
      <c r="DX163" s="16"/>
      <c r="DY163" s="16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16"/>
      <c r="EK163" s="16"/>
      <c r="EL163" s="16"/>
      <c r="EM163" s="16"/>
      <c r="EN163" s="16"/>
      <c r="EO163" s="16"/>
      <c r="EP163" s="16"/>
      <c r="EQ163" s="16"/>
      <c r="ER163" s="5"/>
      <c r="ES163" s="16"/>
      <c r="ET163" s="5"/>
      <c r="EU163" s="5"/>
      <c r="EV163" s="5"/>
      <c r="EW163" s="5"/>
      <c r="EX163" s="5"/>
      <c r="EY163" s="5"/>
      <c r="EZ163" s="5"/>
      <c r="FA163" s="5"/>
      <c r="FB163" s="16"/>
      <c r="FC163" s="5"/>
      <c r="FD163" s="5"/>
      <c r="FE163" s="5"/>
      <c r="FF163" s="5"/>
      <c r="FG163" s="5"/>
      <c r="FH163" s="5"/>
      <c r="FI163" s="5"/>
      <c r="FJ163" s="5"/>
      <c r="FK163" s="16"/>
      <c r="FL163" s="5"/>
      <c r="FM163" s="5"/>
      <c r="FN163" s="5"/>
      <c r="FO163" s="5"/>
      <c r="FP163" s="5"/>
      <c r="FQ163" s="5"/>
      <c r="FR163" s="5"/>
      <c r="FS163" s="5"/>
      <c r="FT163" s="16"/>
      <c r="FU163" s="16"/>
      <c r="FV163" s="16"/>
      <c r="FW163" s="16"/>
      <c r="FX163" s="16"/>
      <c r="FY163" s="16"/>
      <c r="FZ163" s="16"/>
      <c r="GA163" s="5"/>
      <c r="GB163" s="16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9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16"/>
      <c r="IX163" s="5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</row>
    <row r="164" spans="1:33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99"/>
      <c r="AR164" s="99"/>
      <c r="AS164" s="5"/>
      <c r="AT164" s="5"/>
      <c r="AU164" s="5"/>
      <c r="AV164" s="5"/>
      <c r="AW164" s="5"/>
      <c r="AX164" s="99"/>
      <c r="AY164" s="99"/>
      <c r="AZ164" s="5"/>
      <c r="BA164" s="5"/>
      <c r="BB164" s="5"/>
      <c r="BC164" s="5"/>
      <c r="BD164" s="5"/>
      <c r="BE164" s="5"/>
      <c r="BF164" s="99"/>
      <c r="BG164" s="99"/>
      <c r="BH164" s="5"/>
      <c r="BI164" s="5"/>
      <c r="BJ164" s="5"/>
      <c r="BK164" s="5"/>
      <c r="BL164" s="5"/>
      <c r="BM164" s="99"/>
      <c r="BN164" s="99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5"/>
      <c r="CQ164" s="16"/>
      <c r="CR164" s="16"/>
      <c r="CS164" s="16"/>
      <c r="CT164" s="16"/>
      <c r="CU164" s="16"/>
      <c r="CV164" s="16"/>
      <c r="CW164" s="16"/>
      <c r="CX164" s="16"/>
      <c r="CY164" s="5"/>
      <c r="CZ164" s="16"/>
      <c r="DA164" s="5"/>
      <c r="DB164" s="5"/>
      <c r="DC164" s="5"/>
      <c r="DD164" s="5"/>
      <c r="DE164" s="5"/>
      <c r="DF164" s="5"/>
      <c r="DG164" s="5"/>
      <c r="DH164" s="5"/>
      <c r="DI164" s="16"/>
      <c r="DJ164" s="16"/>
      <c r="DK164" s="16"/>
      <c r="DL164" s="16"/>
      <c r="DM164" s="16"/>
      <c r="DN164" s="16"/>
      <c r="DO164" s="16"/>
      <c r="DP164" s="16"/>
      <c r="DQ164" s="16"/>
      <c r="DR164" s="5"/>
      <c r="DS164" s="16"/>
      <c r="DT164" s="16"/>
      <c r="DU164" s="16"/>
      <c r="DV164" s="16"/>
      <c r="DW164" s="16"/>
      <c r="DX164" s="16"/>
      <c r="DY164" s="16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16"/>
      <c r="EK164" s="16"/>
      <c r="EL164" s="16"/>
      <c r="EM164" s="16"/>
      <c r="EN164" s="16"/>
      <c r="EO164" s="16"/>
      <c r="EP164" s="16"/>
      <c r="EQ164" s="16"/>
      <c r="ER164" s="5"/>
      <c r="ES164" s="16"/>
      <c r="ET164" s="5"/>
      <c r="EU164" s="5"/>
      <c r="EV164" s="5"/>
      <c r="EW164" s="5"/>
      <c r="EX164" s="5"/>
      <c r="EY164" s="5"/>
      <c r="EZ164" s="5"/>
      <c r="FA164" s="5"/>
      <c r="FB164" s="16"/>
      <c r="FC164" s="5"/>
      <c r="FD164" s="5"/>
      <c r="FE164" s="5"/>
      <c r="FF164" s="5"/>
      <c r="FG164" s="5"/>
      <c r="FH164" s="5"/>
      <c r="FI164" s="5"/>
      <c r="FJ164" s="5"/>
      <c r="FK164" s="16"/>
      <c r="FL164" s="5"/>
      <c r="FM164" s="5"/>
      <c r="FN164" s="5"/>
      <c r="FO164" s="5"/>
      <c r="FP164" s="5"/>
      <c r="FQ164" s="5"/>
      <c r="FR164" s="5"/>
      <c r="FS164" s="5"/>
      <c r="FT164" s="16"/>
      <c r="FU164" s="16"/>
      <c r="FV164" s="16"/>
      <c r="FW164" s="16"/>
      <c r="FX164" s="16"/>
      <c r="FY164" s="16"/>
      <c r="FZ164" s="16"/>
      <c r="GA164" s="5"/>
      <c r="GB164" s="16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9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16"/>
      <c r="IX164" s="5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</row>
    <row r="165" spans="1:33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99"/>
      <c r="AR165" s="99"/>
      <c r="AS165" s="5"/>
      <c r="AT165" s="5"/>
      <c r="AU165" s="5"/>
      <c r="AV165" s="5"/>
      <c r="AW165" s="5"/>
      <c r="AX165" s="99"/>
      <c r="AY165" s="99"/>
      <c r="AZ165" s="5"/>
      <c r="BA165" s="5"/>
      <c r="BB165" s="5"/>
      <c r="BC165" s="5"/>
      <c r="BD165" s="5"/>
      <c r="BE165" s="5"/>
      <c r="BF165" s="99"/>
      <c r="BG165" s="99"/>
      <c r="BH165" s="5"/>
      <c r="BI165" s="5"/>
      <c r="BJ165" s="5"/>
      <c r="BK165" s="5"/>
      <c r="BL165" s="5"/>
      <c r="BM165" s="99"/>
      <c r="BN165" s="99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5"/>
      <c r="CQ165" s="16"/>
      <c r="CR165" s="16"/>
      <c r="CS165" s="16"/>
      <c r="CT165" s="16"/>
      <c r="CU165" s="16"/>
      <c r="CV165" s="16"/>
      <c r="CW165" s="16"/>
      <c r="CX165" s="16"/>
      <c r="CY165" s="5"/>
      <c r="CZ165" s="16"/>
      <c r="DA165" s="5"/>
      <c r="DB165" s="5"/>
      <c r="DC165" s="5"/>
      <c r="DD165" s="5"/>
      <c r="DE165" s="5"/>
      <c r="DF165" s="5"/>
      <c r="DG165" s="5"/>
      <c r="DH165" s="5"/>
      <c r="DI165" s="16"/>
      <c r="DJ165" s="16"/>
      <c r="DK165" s="16"/>
      <c r="DL165" s="16"/>
      <c r="DM165" s="16"/>
      <c r="DN165" s="16"/>
      <c r="DO165" s="16"/>
      <c r="DP165" s="16"/>
      <c r="DQ165" s="16"/>
      <c r="DR165" s="5"/>
      <c r="DS165" s="16"/>
      <c r="DT165" s="16"/>
      <c r="DU165" s="16"/>
      <c r="DV165" s="16"/>
      <c r="DW165" s="16"/>
      <c r="DX165" s="16"/>
      <c r="DY165" s="16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16"/>
      <c r="EK165" s="16"/>
      <c r="EL165" s="16"/>
      <c r="EM165" s="16"/>
      <c r="EN165" s="16"/>
      <c r="EO165" s="16"/>
      <c r="EP165" s="16"/>
      <c r="EQ165" s="16"/>
      <c r="ER165" s="5"/>
      <c r="ES165" s="16"/>
      <c r="ET165" s="5"/>
      <c r="EU165" s="5"/>
      <c r="EV165" s="5"/>
      <c r="EW165" s="5"/>
      <c r="EX165" s="5"/>
      <c r="EY165" s="5"/>
      <c r="EZ165" s="5"/>
      <c r="FA165" s="5"/>
      <c r="FB165" s="16"/>
      <c r="FC165" s="5"/>
      <c r="FD165" s="5"/>
      <c r="FE165" s="5"/>
      <c r="FF165" s="5"/>
      <c r="FG165" s="5"/>
      <c r="FH165" s="5"/>
      <c r="FI165" s="5"/>
      <c r="FJ165" s="5"/>
      <c r="FK165" s="16"/>
      <c r="FL165" s="5"/>
      <c r="FM165" s="5"/>
      <c r="FN165" s="5"/>
      <c r="FO165" s="5"/>
      <c r="FP165" s="5"/>
      <c r="FQ165" s="5"/>
      <c r="FR165" s="5"/>
      <c r="FS165" s="5"/>
      <c r="FT165" s="16"/>
      <c r="FU165" s="16"/>
      <c r="FV165" s="16"/>
      <c r="FW165" s="16"/>
      <c r="FX165" s="16"/>
      <c r="FY165" s="16"/>
      <c r="FZ165" s="16"/>
      <c r="GA165" s="5"/>
      <c r="GB165" s="16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9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16"/>
      <c r="IX165" s="5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</row>
    <row r="166" spans="1:33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99"/>
      <c r="AR166" s="99"/>
      <c r="AS166" s="5"/>
      <c r="AT166" s="5"/>
      <c r="AU166" s="5"/>
      <c r="AV166" s="5"/>
      <c r="AW166" s="5"/>
      <c r="AX166" s="99"/>
      <c r="AY166" s="99"/>
      <c r="AZ166" s="5"/>
      <c r="BA166" s="5"/>
      <c r="BB166" s="5"/>
      <c r="BC166" s="5"/>
      <c r="BD166" s="5"/>
      <c r="BE166" s="5"/>
      <c r="BF166" s="99"/>
      <c r="BG166" s="99"/>
      <c r="BH166" s="5"/>
      <c r="BI166" s="5"/>
      <c r="BJ166" s="5"/>
      <c r="BK166" s="5"/>
      <c r="BL166" s="5"/>
      <c r="BM166" s="99"/>
      <c r="BN166" s="99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5"/>
      <c r="CQ166" s="16"/>
      <c r="CR166" s="16"/>
      <c r="CS166" s="16"/>
      <c r="CT166" s="16"/>
      <c r="CU166" s="16"/>
      <c r="CV166" s="16"/>
      <c r="CW166" s="16"/>
      <c r="CX166" s="16"/>
      <c r="CY166" s="5"/>
      <c r="CZ166" s="16"/>
      <c r="DA166" s="5"/>
      <c r="DB166" s="5"/>
      <c r="DC166" s="5"/>
      <c r="DD166" s="5"/>
      <c r="DE166" s="5"/>
      <c r="DF166" s="5"/>
      <c r="DG166" s="5"/>
      <c r="DH166" s="5"/>
      <c r="DI166" s="16"/>
      <c r="DJ166" s="16"/>
      <c r="DK166" s="16"/>
      <c r="DL166" s="16"/>
      <c r="DM166" s="16"/>
      <c r="DN166" s="16"/>
      <c r="DO166" s="16"/>
      <c r="DP166" s="16"/>
      <c r="DQ166" s="16"/>
      <c r="DR166" s="5"/>
      <c r="DS166" s="16"/>
      <c r="DT166" s="16"/>
      <c r="DU166" s="16"/>
      <c r="DV166" s="16"/>
      <c r="DW166" s="16"/>
      <c r="DX166" s="16"/>
      <c r="DY166" s="16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16"/>
      <c r="EK166" s="16"/>
      <c r="EL166" s="16"/>
      <c r="EM166" s="16"/>
      <c r="EN166" s="16"/>
      <c r="EO166" s="16"/>
      <c r="EP166" s="16"/>
      <c r="EQ166" s="16"/>
      <c r="ER166" s="5"/>
      <c r="ES166" s="16"/>
      <c r="ET166" s="5"/>
      <c r="EU166" s="5"/>
      <c r="EV166" s="5"/>
      <c r="EW166" s="5"/>
      <c r="EX166" s="5"/>
      <c r="EY166" s="5"/>
      <c r="EZ166" s="5"/>
      <c r="FA166" s="5"/>
      <c r="FB166" s="16"/>
      <c r="FC166" s="5"/>
      <c r="FD166" s="5"/>
      <c r="FE166" s="5"/>
      <c r="FF166" s="5"/>
      <c r="FG166" s="5"/>
      <c r="FH166" s="5"/>
      <c r="FI166" s="5"/>
      <c r="FJ166" s="5"/>
      <c r="FK166" s="16"/>
      <c r="FL166" s="5"/>
      <c r="FM166" s="5"/>
      <c r="FN166" s="5"/>
      <c r="FO166" s="5"/>
      <c r="FP166" s="5"/>
      <c r="FQ166" s="5"/>
      <c r="FR166" s="5"/>
      <c r="FS166" s="5"/>
      <c r="FT166" s="16"/>
      <c r="FU166" s="16"/>
      <c r="FV166" s="16"/>
      <c r="FW166" s="16"/>
      <c r="FX166" s="16"/>
      <c r="FY166" s="16"/>
      <c r="FZ166" s="16"/>
      <c r="GA166" s="5"/>
      <c r="GB166" s="16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9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16"/>
      <c r="IX166" s="5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</row>
    <row r="167" spans="1:33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99"/>
      <c r="AR167" s="99"/>
      <c r="AS167" s="5"/>
      <c r="AT167" s="5"/>
      <c r="AU167" s="5"/>
      <c r="AV167" s="5"/>
      <c r="AW167" s="5"/>
      <c r="AX167" s="99"/>
      <c r="AY167" s="99"/>
      <c r="AZ167" s="5"/>
      <c r="BA167" s="5"/>
      <c r="BB167" s="5"/>
      <c r="BC167" s="5"/>
      <c r="BD167" s="5"/>
      <c r="BE167" s="5"/>
      <c r="BF167" s="99"/>
      <c r="BG167" s="99"/>
      <c r="BH167" s="5"/>
      <c r="BI167" s="5"/>
      <c r="BJ167" s="5"/>
      <c r="BK167" s="5"/>
      <c r="BL167" s="5"/>
      <c r="BM167" s="99"/>
      <c r="BN167" s="99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5"/>
      <c r="CQ167" s="16"/>
      <c r="CR167" s="16"/>
      <c r="CS167" s="16"/>
      <c r="CT167" s="16"/>
      <c r="CU167" s="16"/>
      <c r="CV167" s="16"/>
      <c r="CW167" s="16"/>
      <c r="CX167" s="16"/>
      <c r="CY167" s="5"/>
      <c r="CZ167" s="16"/>
      <c r="DA167" s="5"/>
      <c r="DB167" s="5"/>
      <c r="DC167" s="5"/>
      <c r="DD167" s="5"/>
      <c r="DE167" s="5"/>
      <c r="DF167" s="5"/>
      <c r="DG167" s="5"/>
      <c r="DH167" s="5"/>
      <c r="DI167" s="16"/>
      <c r="DJ167" s="16"/>
      <c r="DK167" s="16"/>
      <c r="DL167" s="16"/>
      <c r="DM167" s="16"/>
      <c r="DN167" s="16"/>
      <c r="DO167" s="16"/>
      <c r="DP167" s="16"/>
      <c r="DQ167" s="16"/>
      <c r="DR167" s="5"/>
      <c r="DS167" s="16"/>
      <c r="DT167" s="16"/>
      <c r="DU167" s="16"/>
      <c r="DV167" s="16"/>
      <c r="DW167" s="16"/>
      <c r="DX167" s="16"/>
      <c r="DY167" s="16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16"/>
      <c r="EK167" s="16"/>
      <c r="EL167" s="16"/>
      <c r="EM167" s="16"/>
      <c r="EN167" s="16"/>
      <c r="EO167" s="16"/>
      <c r="EP167" s="16"/>
      <c r="EQ167" s="16"/>
      <c r="ER167" s="5"/>
      <c r="ES167" s="16"/>
      <c r="ET167" s="5"/>
      <c r="EU167" s="5"/>
      <c r="EV167" s="5"/>
      <c r="EW167" s="5"/>
      <c r="EX167" s="5"/>
      <c r="EY167" s="5"/>
      <c r="EZ167" s="5"/>
      <c r="FA167" s="5"/>
      <c r="FB167" s="16"/>
      <c r="FC167" s="5"/>
      <c r="FD167" s="5"/>
      <c r="FE167" s="5"/>
      <c r="FF167" s="5"/>
      <c r="FG167" s="5"/>
      <c r="FH167" s="5"/>
      <c r="FI167" s="5"/>
      <c r="FJ167" s="5"/>
      <c r="FK167" s="16"/>
      <c r="FL167" s="5"/>
      <c r="FM167" s="5"/>
      <c r="FN167" s="5"/>
      <c r="FO167" s="5"/>
      <c r="FP167" s="5"/>
      <c r="FQ167" s="5"/>
      <c r="FR167" s="5"/>
      <c r="FS167" s="5"/>
      <c r="FT167" s="16"/>
      <c r="FU167" s="16"/>
      <c r="FV167" s="16"/>
      <c r="FW167" s="16"/>
      <c r="FX167" s="16"/>
      <c r="FY167" s="16"/>
      <c r="FZ167" s="16"/>
      <c r="GA167" s="5"/>
      <c r="GB167" s="16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9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16"/>
      <c r="IX167" s="5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</row>
    <row r="168" spans="1:33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99"/>
      <c r="AR168" s="99"/>
      <c r="AS168" s="5"/>
      <c r="AT168" s="5"/>
      <c r="AU168" s="5"/>
      <c r="AV168" s="5"/>
      <c r="AW168" s="5"/>
      <c r="AX168" s="99"/>
      <c r="AY168" s="99"/>
      <c r="AZ168" s="5"/>
      <c r="BA168" s="5"/>
      <c r="BB168" s="5"/>
      <c r="BC168" s="5"/>
      <c r="BD168" s="5"/>
      <c r="BE168" s="5"/>
      <c r="BF168" s="99"/>
      <c r="BG168" s="99"/>
      <c r="BH168" s="5"/>
      <c r="BI168" s="5"/>
      <c r="BJ168" s="5"/>
      <c r="BK168" s="5"/>
      <c r="BL168" s="5"/>
      <c r="BM168" s="99"/>
      <c r="BN168" s="99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5"/>
      <c r="CQ168" s="16"/>
      <c r="CR168" s="16"/>
      <c r="CS168" s="16"/>
      <c r="CT168" s="16"/>
      <c r="CU168" s="16"/>
      <c r="CV168" s="16"/>
      <c r="CW168" s="16"/>
      <c r="CX168" s="16"/>
      <c r="CY168" s="5"/>
      <c r="CZ168" s="16"/>
      <c r="DA168" s="5"/>
      <c r="DB168" s="5"/>
      <c r="DC168" s="5"/>
      <c r="DD168" s="5"/>
      <c r="DE168" s="5"/>
      <c r="DF168" s="5"/>
      <c r="DG168" s="5"/>
      <c r="DH168" s="5"/>
      <c r="DI168" s="16"/>
      <c r="DJ168" s="16"/>
      <c r="DK168" s="16"/>
      <c r="DL168" s="16"/>
      <c r="DM168" s="16"/>
      <c r="DN168" s="16"/>
      <c r="DO168" s="16"/>
      <c r="DP168" s="16"/>
      <c r="DQ168" s="16"/>
      <c r="DR168" s="5"/>
      <c r="DS168" s="16"/>
      <c r="DT168" s="16"/>
      <c r="DU168" s="16"/>
      <c r="DV168" s="16"/>
      <c r="DW168" s="16"/>
      <c r="DX168" s="16"/>
      <c r="DY168" s="16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16"/>
      <c r="EK168" s="16"/>
      <c r="EL168" s="16"/>
      <c r="EM168" s="16"/>
      <c r="EN168" s="16"/>
      <c r="EO168" s="16"/>
      <c r="EP168" s="16"/>
      <c r="EQ168" s="16"/>
      <c r="ER168" s="5"/>
      <c r="ES168" s="16"/>
      <c r="ET168" s="5"/>
      <c r="EU168" s="5"/>
      <c r="EV168" s="5"/>
      <c r="EW168" s="5"/>
      <c r="EX168" s="5"/>
      <c r="EY168" s="5"/>
      <c r="EZ168" s="5"/>
      <c r="FA168" s="5"/>
      <c r="FB168" s="16"/>
      <c r="FC168" s="5"/>
      <c r="FD168" s="5"/>
      <c r="FE168" s="5"/>
      <c r="FF168" s="5"/>
      <c r="FG168" s="5"/>
      <c r="FH168" s="5"/>
      <c r="FI168" s="5"/>
      <c r="FJ168" s="5"/>
      <c r="FK168" s="16"/>
      <c r="FL168" s="5"/>
      <c r="FM168" s="5"/>
      <c r="FN168" s="5"/>
      <c r="FO168" s="5"/>
      <c r="FP168" s="5"/>
      <c r="FQ168" s="5"/>
      <c r="FR168" s="5"/>
      <c r="FS168" s="5"/>
      <c r="FT168" s="16"/>
      <c r="FU168" s="16"/>
      <c r="FV168" s="16"/>
      <c r="FW168" s="16"/>
      <c r="FX168" s="16"/>
      <c r="FY168" s="16"/>
      <c r="FZ168" s="16"/>
      <c r="GA168" s="5"/>
      <c r="GB168" s="16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9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16"/>
      <c r="IX168" s="5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</row>
    <row r="169" spans="1:33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99"/>
      <c r="AR169" s="99"/>
      <c r="AS169" s="5"/>
      <c r="AT169" s="5"/>
      <c r="AU169" s="5"/>
      <c r="AV169" s="5"/>
      <c r="AW169" s="5"/>
      <c r="AX169" s="99"/>
      <c r="AY169" s="99"/>
      <c r="AZ169" s="5"/>
      <c r="BA169" s="5"/>
      <c r="BB169" s="5"/>
      <c r="BC169" s="5"/>
      <c r="BD169" s="5"/>
      <c r="BE169" s="5"/>
      <c r="BF169" s="99"/>
      <c r="BG169" s="99"/>
      <c r="BH169" s="5"/>
      <c r="BI169" s="5"/>
      <c r="BJ169" s="5"/>
      <c r="BK169" s="5"/>
      <c r="BL169" s="5"/>
      <c r="BM169" s="99"/>
      <c r="BN169" s="99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5"/>
      <c r="CQ169" s="16"/>
      <c r="CR169" s="16"/>
      <c r="CS169" s="16"/>
      <c r="CT169" s="16"/>
      <c r="CU169" s="16"/>
      <c r="CV169" s="16"/>
      <c r="CW169" s="16"/>
      <c r="CX169" s="16"/>
      <c r="CY169" s="5"/>
      <c r="CZ169" s="16"/>
      <c r="DA169" s="5"/>
      <c r="DB169" s="5"/>
      <c r="DC169" s="5"/>
      <c r="DD169" s="5"/>
      <c r="DE169" s="5"/>
      <c r="DF169" s="5"/>
      <c r="DG169" s="5"/>
      <c r="DH169" s="5"/>
      <c r="DI169" s="16"/>
      <c r="DJ169" s="16"/>
      <c r="DK169" s="16"/>
      <c r="DL169" s="16"/>
      <c r="DM169" s="16"/>
      <c r="DN169" s="16"/>
      <c r="DO169" s="16"/>
      <c r="DP169" s="16"/>
      <c r="DQ169" s="16"/>
      <c r="DR169" s="5"/>
      <c r="DS169" s="16"/>
      <c r="DT169" s="16"/>
      <c r="DU169" s="16"/>
      <c r="DV169" s="16"/>
      <c r="DW169" s="16"/>
      <c r="DX169" s="16"/>
      <c r="DY169" s="16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16"/>
      <c r="EK169" s="16"/>
      <c r="EL169" s="16"/>
      <c r="EM169" s="16"/>
      <c r="EN169" s="16"/>
      <c r="EO169" s="16"/>
      <c r="EP169" s="16"/>
      <c r="EQ169" s="16"/>
      <c r="ER169" s="5"/>
      <c r="ES169" s="16"/>
      <c r="ET169" s="5"/>
      <c r="EU169" s="5"/>
      <c r="EV169" s="5"/>
      <c r="EW169" s="5"/>
      <c r="EX169" s="5"/>
      <c r="EY169" s="5"/>
      <c r="EZ169" s="5"/>
      <c r="FA169" s="5"/>
      <c r="FB169" s="16"/>
      <c r="FC169" s="5"/>
      <c r="FD169" s="5"/>
      <c r="FE169" s="5"/>
      <c r="FF169" s="5"/>
      <c r="FG169" s="5"/>
      <c r="FH169" s="5"/>
      <c r="FI169" s="5"/>
      <c r="FJ169" s="5"/>
      <c r="FK169" s="16"/>
      <c r="FL169" s="5"/>
      <c r="FM169" s="5"/>
      <c r="FN169" s="5"/>
      <c r="FO169" s="5"/>
      <c r="FP169" s="5"/>
      <c r="FQ169" s="5"/>
      <c r="FR169" s="5"/>
      <c r="FS169" s="5"/>
      <c r="FT169" s="16"/>
      <c r="FU169" s="16"/>
      <c r="FV169" s="16"/>
      <c r="FW169" s="16"/>
      <c r="FX169" s="16"/>
      <c r="FY169" s="16"/>
      <c r="FZ169" s="16"/>
      <c r="GA169" s="5"/>
      <c r="GB169" s="16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9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16"/>
      <c r="IX169" s="5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</row>
    <row r="170" spans="1:33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99"/>
      <c r="AR170" s="99"/>
      <c r="AS170" s="5"/>
      <c r="AT170" s="5"/>
      <c r="AU170" s="5"/>
      <c r="AV170" s="5"/>
      <c r="AW170" s="5"/>
      <c r="AX170" s="99"/>
      <c r="AY170" s="99"/>
      <c r="AZ170" s="5"/>
      <c r="BA170" s="5"/>
      <c r="BB170" s="5"/>
      <c r="BC170" s="5"/>
      <c r="BD170" s="5"/>
      <c r="BE170" s="5"/>
      <c r="BF170" s="99"/>
      <c r="BG170" s="99"/>
      <c r="BH170" s="5"/>
      <c r="BI170" s="5"/>
      <c r="BJ170" s="5"/>
      <c r="BK170" s="5"/>
      <c r="BL170" s="5"/>
      <c r="BM170" s="99"/>
      <c r="BN170" s="99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5"/>
      <c r="CQ170" s="16"/>
      <c r="CR170" s="16"/>
      <c r="CS170" s="16"/>
      <c r="CT170" s="16"/>
      <c r="CU170" s="16"/>
      <c r="CV170" s="16"/>
      <c r="CW170" s="16"/>
      <c r="CX170" s="16"/>
      <c r="CY170" s="5"/>
      <c r="CZ170" s="16"/>
      <c r="DA170" s="5"/>
      <c r="DB170" s="5"/>
      <c r="DC170" s="5"/>
      <c r="DD170" s="5"/>
      <c r="DE170" s="5"/>
      <c r="DF170" s="5"/>
      <c r="DG170" s="5"/>
      <c r="DH170" s="5"/>
      <c r="DI170" s="16"/>
      <c r="DJ170" s="16"/>
      <c r="DK170" s="16"/>
      <c r="DL170" s="16"/>
      <c r="DM170" s="16"/>
      <c r="DN170" s="16"/>
      <c r="DO170" s="16"/>
      <c r="DP170" s="16"/>
      <c r="DQ170" s="16"/>
      <c r="DR170" s="5"/>
      <c r="DS170" s="16"/>
      <c r="DT170" s="16"/>
      <c r="DU170" s="16"/>
      <c r="DV170" s="16"/>
      <c r="DW170" s="16"/>
      <c r="DX170" s="16"/>
      <c r="DY170" s="16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16"/>
      <c r="EK170" s="16"/>
      <c r="EL170" s="16"/>
      <c r="EM170" s="16"/>
      <c r="EN170" s="16"/>
      <c r="EO170" s="16"/>
      <c r="EP170" s="16"/>
      <c r="EQ170" s="16"/>
      <c r="ER170" s="5"/>
      <c r="ES170" s="16"/>
      <c r="ET170" s="5"/>
      <c r="EU170" s="5"/>
      <c r="EV170" s="5"/>
      <c r="EW170" s="5"/>
      <c r="EX170" s="5"/>
      <c r="EY170" s="5"/>
      <c r="EZ170" s="5"/>
      <c r="FA170" s="5"/>
      <c r="FB170" s="16"/>
      <c r="FC170" s="5"/>
      <c r="FD170" s="5"/>
      <c r="FE170" s="5"/>
      <c r="FF170" s="5"/>
      <c r="FG170" s="5"/>
      <c r="FH170" s="5"/>
      <c r="FI170" s="5"/>
      <c r="FJ170" s="5"/>
      <c r="FK170" s="16"/>
      <c r="FL170" s="5"/>
      <c r="FM170" s="5"/>
      <c r="FN170" s="5"/>
      <c r="FO170" s="5"/>
      <c r="FP170" s="5"/>
      <c r="FQ170" s="5"/>
      <c r="FR170" s="5"/>
      <c r="FS170" s="5"/>
      <c r="FT170" s="16"/>
      <c r="FU170" s="16"/>
      <c r="FV170" s="16"/>
      <c r="FW170" s="16"/>
      <c r="FX170" s="16"/>
      <c r="FY170" s="16"/>
      <c r="FZ170" s="16"/>
      <c r="GA170" s="5"/>
      <c r="GB170" s="16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9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16"/>
      <c r="IX170" s="5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</row>
    <row r="171" spans="1:33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99"/>
      <c r="AR171" s="99"/>
      <c r="AS171" s="5"/>
      <c r="AT171" s="5"/>
      <c r="AU171" s="5"/>
      <c r="AV171" s="5"/>
      <c r="AW171" s="5"/>
      <c r="AX171" s="99"/>
      <c r="AY171" s="99"/>
      <c r="AZ171" s="5"/>
      <c r="BA171" s="5"/>
      <c r="BB171" s="5"/>
      <c r="BC171" s="5"/>
      <c r="BD171" s="5"/>
      <c r="BE171" s="5"/>
      <c r="BF171" s="99"/>
      <c r="BG171" s="99"/>
      <c r="BH171" s="5"/>
      <c r="BI171" s="5"/>
      <c r="BJ171" s="5"/>
      <c r="BK171" s="5"/>
      <c r="BL171" s="5"/>
      <c r="BM171" s="99"/>
      <c r="BN171" s="99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5"/>
      <c r="CQ171" s="16"/>
      <c r="CR171" s="16"/>
      <c r="CS171" s="16"/>
      <c r="CT171" s="16"/>
      <c r="CU171" s="16"/>
      <c r="CV171" s="16"/>
      <c r="CW171" s="16"/>
      <c r="CX171" s="16"/>
      <c r="CY171" s="5"/>
      <c r="CZ171" s="16"/>
      <c r="DA171" s="5"/>
      <c r="DB171" s="5"/>
      <c r="DC171" s="5"/>
      <c r="DD171" s="5"/>
      <c r="DE171" s="5"/>
      <c r="DF171" s="5"/>
      <c r="DG171" s="5"/>
      <c r="DH171" s="5"/>
      <c r="DI171" s="16"/>
      <c r="DJ171" s="16"/>
      <c r="DK171" s="16"/>
      <c r="DL171" s="16"/>
      <c r="DM171" s="16"/>
      <c r="DN171" s="16"/>
      <c r="DO171" s="16"/>
      <c r="DP171" s="16"/>
      <c r="DQ171" s="16"/>
      <c r="DR171" s="5"/>
      <c r="DS171" s="16"/>
      <c r="DT171" s="16"/>
      <c r="DU171" s="16"/>
      <c r="DV171" s="16"/>
      <c r="DW171" s="16"/>
      <c r="DX171" s="16"/>
      <c r="DY171" s="16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16"/>
      <c r="EK171" s="16"/>
      <c r="EL171" s="16"/>
      <c r="EM171" s="16"/>
      <c r="EN171" s="16"/>
      <c r="EO171" s="16"/>
      <c r="EP171" s="16"/>
      <c r="EQ171" s="16"/>
      <c r="ER171" s="5"/>
      <c r="ES171" s="16"/>
      <c r="ET171" s="5"/>
      <c r="EU171" s="5"/>
      <c r="EV171" s="5"/>
      <c r="EW171" s="5"/>
      <c r="EX171" s="5"/>
      <c r="EY171" s="5"/>
      <c r="EZ171" s="5"/>
      <c r="FA171" s="5"/>
      <c r="FB171" s="16"/>
      <c r="FC171" s="5"/>
      <c r="FD171" s="5"/>
      <c r="FE171" s="5"/>
      <c r="FF171" s="5"/>
      <c r="FG171" s="5"/>
      <c r="FH171" s="5"/>
      <c r="FI171" s="5"/>
      <c r="FJ171" s="5"/>
      <c r="FK171" s="16"/>
      <c r="FL171" s="5"/>
      <c r="FM171" s="5"/>
      <c r="FN171" s="5"/>
      <c r="FO171" s="5"/>
      <c r="FP171" s="5"/>
      <c r="FQ171" s="5"/>
      <c r="FR171" s="5"/>
      <c r="FS171" s="5"/>
      <c r="FT171" s="16"/>
      <c r="FU171" s="16"/>
      <c r="FV171" s="16"/>
      <c r="FW171" s="16"/>
      <c r="FX171" s="16"/>
      <c r="FY171" s="16"/>
      <c r="FZ171" s="16"/>
      <c r="GA171" s="5"/>
      <c r="GB171" s="16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9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16"/>
      <c r="IX171" s="5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</row>
    <row r="172" spans="1:33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99"/>
      <c r="AR172" s="99"/>
      <c r="AS172" s="5"/>
      <c r="AT172" s="5"/>
      <c r="AU172" s="5"/>
      <c r="AV172" s="5"/>
      <c r="AW172" s="5"/>
      <c r="AX172" s="99"/>
      <c r="AY172" s="99"/>
      <c r="AZ172" s="5"/>
      <c r="BA172" s="5"/>
      <c r="BB172" s="5"/>
      <c r="BC172" s="5"/>
      <c r="BD172" s="5"/>
      <c r="BE172" s="5"/>
      <c r="BF172" s="99"/>
      <c r="BG172" s="99"/>
      <c r="BH172" s="5"/>
      <c r="BI172" s="5"/>
      <c r="BJ172" s="5"/>
      <c r="BK172" s="5"/>
      <c r="BL172" s="5"/>
      <c r="BM172" s="99"/>
      <c r="BN172" s="99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5"/>
      <c r="CQ172" s="16"/>
      <c r="CR172" s="16"/>
      <c r="CS172" s="16"/>
      <c r="CT172" s="16"/>
      <c r="CU172" s="16"/>
      <c r="CV172" s="16"/>
      <c r="CW172" s="16"/>
      <c r="CX172" s="16"/>
      <c r="CY172" s="5"/>
      <c r="CZ172" s="16"/>
      <c r="DA172" s="5"/>
      <c r="DB172" s="5"/>
      <c r="DC172" s="5"/>
      <c r="DD172" s="5"/>
      <c r="DE172" s="5"/>
      <c r="DF172" s="5"/>
      <c r="DG172" s="5"/>
      <c r="DH172" s="5"/>
      <c r="DI172" s="16"/>
      <c r="DJ172" s="16"/>
      <c r="DK172" s="16"/>
      <c r="DL172" s="16"/>
      <c r="DM172" s="16"/>
      <c r="DN172" s="16"/>
      <c r="DO172" s="16"/>
      <c r="DP172" s="16"/>
      <c r="DQ172" s="16"/>
      <c r="DR172" s="5"/>
      <c r="DS172" s="16"/>
      <c r="DT172" s="16"/>
      <c r="DU172" s="16"/>
      <c r="DV172" s="16"/>
      <c r="DW172" s="16"/>
      <c r="DX172" s="16"/>
      <c r="DY172" s="16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16"/>
      <c r="EK172" s="16"/>
      <c r="EL172" s="16"/>
      <c r="EM172" s="16"/>
      <c r="EN172" s="16"/>
      <c r="EO172" s="16"/>
      <c r="EP172" s="16"/>
      <c r="EQ172" s="16"/>
      <c r="ER172" s="5"/>
      <c r="ES172" s="16"/>
      <c r="ET172" s="5"/>
      <c r="EU172" s="5"/>
      <c r="EV172" s="5"/>
      <c r="EW172" s="5"/>
      <c r="EX172" s="5"/>
      <c r="EY172" s="5"/>
      <c r="EZ172" s="5"/>
      <c r="FA172" s="5"/>
      <c r="FB172" s="16"/>
      <c r="FC172" s="5"/>
      <c r="FD172" s="5"/>
      <c r="FE172" s="5"/>
      <c r="FF172" s="5"/>
      <c r="FG172" s="5"/>
      <c r="FH172" s="5"/>
      <c r="FI172" s="5"/>
      <c r="FJ172" s="5"/>
      <c r="FK172" s="16"/>
      <c r="FL172" s="5"/>
      <c r="FM172" s="5"/>
      <c r="FN172" s="5"/>
      <c r="FO172" s="5"/>
      <c r="FP172" s="5"/>
      <c r="FQ172" s="5"/>
      <c r="FR172" s="5"/>
      <c r="FS172" s="5"/>
      <c r="FT172" s="16"/>
      <c r="FU172" s="16"/>
      <c r="FV172" s="16"/>
      <c r="FW172" s="16"/>
      <c r="FX172" s="16"/>
      <c r="FY172" s="16"/>
      <c r="FZ172" s="16"/>
      <c r="GA172" s="5"/>
      <c r="GB172" s="16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9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16"/>
      <c r="IX172" s="5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</row>
    <row r="173" spans="1:33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99"/>
      <c r="AR173" s="99"/>
      <c r="AS173" s="5"/>
      <c r="AT173" s="5"/>
      <c r="AU173" s="5"/>
      <c r="AV173" s="5"/>
      <c r="AW173" s="5"/>
      <c r="AX173" s="99"/>
      <c r="AY173" s="99"/>
      <c r="AZ173" s="5"/>
      <c r="BA173" s="5"/>
      <c r="BB173" s="5"/>
      <c r="BC173" s="5"/>
      <c r="BD173" s="5"/>
      <c r="BE173" s="5"/>
      <c r="BF173" s="99"/>
      <c r="BG173" s="99"/>
      <c r="BH173" s="5"/>
      <c r="BI173" s="5"/>
      <c r="BJ173" s="5"/>
      <c r="BK173" s="5"/>
      <c r="BL173" s="5"/>
      <c r="BM173" s="99"/>
      <c r="BN173" s="99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5"/>
      <c r="CQ173" s="16"/>
      <c r="CR173" s="16"/>
      <c r="CS173" s="16"/>
      <c r="CT173" s="16"/>
      <c r="CU173" s="16"/>
      <c r="CV173" s="16"/>
      <c r="CW173" s="16"/>
      <c r="CX173" s="16"/>
      <c r="CY173" s="5"/>
      <c r="CZ173" s="16"/>
      <c r="DA173" s="5"/>
      <c r="DB173" s="5"/>
      <c r="DC173" s="5"/>
      <c r="DD173" s="5"/>
      <c r="DE173" s="5"/>
      <c r="DF173" s="5"/>
      <c r="DG173" s="5"/>
      <c r="DH173" s="5"/>
      <c r="DI173" s="16"/>
      <c r="DJ173" s="16"/>
      <c r="DK173" s="16"/>
      <c r="DL173" s="16"/>
      <c r="DM173" s="16"/>
      <c r="DN173" s="16"/>
      <c r="DO173" s="16"/>
      <c r="DP173" s="16"/>
      <c r="DQ173" s="16"/>
      <c r="DR173" s="5"/>
      <c r="DS173" s="16"/>
      <c r="DT173" s="16"/>
      <c r="DU173" s="16"/>
      <c r="DV173" s="16"/>
      <c r="DW173" s="16"/>
      <c r="DX173" s="16"/>
      <c r="DY173" s="16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16"/>
      <c r="EK173" s="16"/>
      <c r="EL173" s="16"/>
      <c r="EM173" s="16"/>
      <c r="EN173" s="16"/>
      <c r="EO173" s="16"/>
      <c r="EP173" s="16"/>
      <c r="EQ173" s="16"/>
      <c r="ER173" s="5"/>
      <c r="ES173" s="16"/>
      <c r="ET173" s="5"/>
      <c r="EU173" s="5"/>
      <c r="EV173" s="5"/>
      <c r="EW173" s="5"/>
      <c r="EX173" s="5"/>
      <c r="EY173" s="5"/>
      <c r="EZ173" s="5"/>
      <c r="FA173" s="5"/>
      <c r="FB173" s="16"/>
      <c r="FC173" s="5"/>
      <c r="FD173" s="5"/>
      <c r="FE173" s="5"/>
      <c r="FF173" s="5"/>
      <c r="FG173" s="5"/>
      <c r="FH173" s="5"/>
      <c r="FI173" s="5"/>
      <c r="FJ173" s="5"/>
      <c r="FK173" s="16"/>
      <c r="FL173" s="5"/>
      <c r="FM173" s="5"/>
      <c r="FN173" s="5"/>
      <c r="FO173" s="5"/>
      <c r="FP173" s="5"/>
      <c r="FQ173" s="5"/>
      <c r="FR173" s="5"/>
      <c r="FS173" s="5"/>
      <c r="FT173" s="16"/>
      <c r="FU173" s="16"/>
      <c r="FV173" s="16"/>
      <c r="FW173" s="16"/>
      <c r="FX173" s="16"/>
      <c r="FY173" s="16"/>
      <c r="FZ173" s="16"/>
      <c r="GA173" s="5"/>
      <c r="GB173" s="16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9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16"/>
      <c r="IX173" s="5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</row>
    <row r="174" spans="1:33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99"/>
      <c r="AR174" s="99"/>
      <c r="AS174" s="5"/>
      <c r="AT174" s="5"/>
      <c r="AU174" s="5"/>
      <c r="AV174" s="5"/>
      <c r="AW174" s="5"/>
      <c r="AX174" s="99"/>
      <c r="AY174" s="99"/>
      <c r="AZ174" s="5"/>
      <c r="BA174" s="5"/>
      <c r="BB174" s="5"/>
      <c r="BC174" s="5"/>
      <c r="BD174" s="5"/>
      <c r="BE174" s="5"/>
      <c r="BF174" s="99"/>
      <c r="BG174" s="99"/>
      <c r="BH174" s="5"/>
      <c r="BI174" s="5"/>
      <c r="BJ174" s="5"/>
      <c r="BK174" s="5"/>
      <c r="BL174" s="5"/>
      <c r="BM174" s="99"/>
      <c r="BN174" s="99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5"/>
      <c r="CQ174" s="16"/>
      <c r="CR174" s="16"/>
      <c r="CS174" s="16"/>
      <c r="CT174" s="16"/>
      <c r="CU174" s="16"/>
      <c r="CV174" s="16"/>
      <c r="CW174" s="16"/>
      <c r="CX174" s="16"/>
      <c r="CY174" s="5"/>
      <c r="CZ174" s="16"/>
      <c r="DA174" s="5"/>
      <c r="DB174" s="5"/>
      <c r="DC174" s="5"/>
      <c r="DD174" s="5"/>
      <c r="DE174" s="5"/>
      <c r="DF174" s="5"/>
      <c r="DG174" s="5"/>
      <c r="DH174" s="5"/>
      <c r="DI174" s="16"/>
      <c r="DJ174" s="16"/>
      <c r="DK174" s="16"/>
      <c r="DL174" s="16"/>
      <c r="DM174" s="16"/>
      <c r="DN174" s="16"/>
      <c r="DO174" s="16"/>
      <c r="DP174" s="16"/>
      <c r="DQ174" s="16"/>
      <c r="DR174" s="5"/>
      <c r="DS174" s="16"/>
      <c r="DT174" s="16"/>
      <c r="DU174" s="16"/>
      <c r="DV174" s="16"/>
      <c r="DW174" s="16"/>
      <c r="DX174" s="16"/>
      <c r="DY174" s="16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16"/>
      <c r="EK174" s="16"/>
      <c r="EL174" s="16"/>
      <c r="EM174" s="16"/>
      <c r="EN174" s="16"/>
      <c r="EO174" s="16"/>
      <c r="EP174" s="16"/>
      <c r="EQ174" s="16"/>
      <c r="ER174" s="5"/>
      <c r="ES174" s="16"/>
      <c r="ET174" s="5"/>
      <c r="EU174" s="5"/>
      <c r="EV174" s="5"/>
      <c r="EW174" s="5"/>
      <c r="EX174" s="5"/>
      <c r="EY174" s="5"/>
      <c r="EZ174" s="5"/>
      <c r="FA174" s="5"/>
      <c r="FB174" s="16"/>
      <c r="FC174" s="5"/>
      <c r="FD174" s="5"/>
      <c r="FE174" s="5"/>
      <c r="FF174" s="5"/>
      <c r="FG174" s="5"/>
      <c r="FH174" s="5"/>
      <c r="FI174" s="5"/>
      <c r="FJ174" s="5"/>
      <c r="FK174" s="16"/>
      <c r="FL174" s="5"/>
      <c r="FM174" s="5"/>
      <c r="FN174" s="5"/>
      <c r="FO174" s="5"/>
      <c r="FP174" s="5"/>
      <c r="FQ174" s="5"/>
      <c r="FR174" s="5"/>
      <c r="FS174" s="5"/>
      <c r="FT174" s="16"/>
      <c r="FU174" s="16"/>
      <c r="FV174" s="16"/>
      <c r="FW174" s="16"/>
      <c r="FX174" s="16"/>
      <c r="FY174" s="16"/>
      <c r="FZ174" s="16"/>
      <c r="GA174" s="5"/>
      <c r="GB174" s="16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9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16"/>
      <c r="IX174" s="5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</row>
    <row r="175" spans="1:33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99"/>
      <c r="AR175" s="99"/>
      <c r="AS175" s="5"/>
      <c r="AT175" s="5"/>
      <c r="AU175" s="5"/>
      <c r="AV175" s="5"/>
      <c r="AW175" s="5"/>
      <c r="AX175" s="99"/>
      <c r="AY175" s="99"/>
      <c r="AZ175" s="5"/>
      <c r="BA175" s="5"/>
      <c r="BB175" s="5"/>
      <c r="BC175" s="5"/>
      <c r="BD175" s="5"/>
      <c r="BE175" s="5"/>
      <c r="BF175" s="99"/>
      <c r="BG175" s="99"/>
      <c r="BH175" s="5"/>
      <c r="BI175" s="5"/>
      <c r="BJ175" s="5"/>
      <c r="BK175" s="5"/>
      <c r="BL175" s="5"/>
      <c r="BM175" s="99"/>
      <c r="BN175" s="99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5"/>
      <c r="CQ175" s="16"/>
      <c r="CR175" s="16"/>
      <c r="CS175" s="16"/>
      <c r="CT175" s="16"/>
      <c r="CU175" s="16"/>
      <c r="CV175" s="16"/>
      <c r="CW175" s="16"/>
      <c r="CX175" s="16"/>
      <c r="CY175" s="5"/>
      <c r="CZ175" s="16"/>
      <c r="DA175" s="5"/>
      <c r="DB175" s="5"/>
      <c r="DC175" s="5"/>
      <c r="DD175" s="5"/>
      <c r="DE175" s="5"/>
      <c r="DF175" s="5"/>
      <c r="DG175" s="5"/>
      <c r="DH175" s="5"/>
      <c r="DI175" s="16"/>
      <c r="DJ175" s="16"/>
      <c r="DK175" s="16"/>
      <c r="DL175" s="16"/>
      <c r="DM175" s="16"/>
      <c r="DN175" s="16"/>
      <c r="DO175" s="16"/>
      <c r="DP175" s="16"/>
      <c r="DQ175" s="16"/>
      <c r="DR175" s="5"/>
      <c r="DS175" s="16"/>
      <c r="DT175" s="16"/>
      <c r="DU175" s="16"/>
      <c r="DV175" s="16"/>
      <c r="DW175" s="16"/>
      <c r="DX175" s="16"/>
      <c r="DY175" s="16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16"/>
      <c r="EK175" s="16"/>
      <c r="EL175" s="16"/>
      <c r="EM175" s="16"/>
      <c r="EN175" s="16"/>
      <c r="EO175" s="16"/>
      <c r="EP175" s="16"/>
      <c r="EQ175" s="16"/>
      <c r="ER175" s="5"/>
      <c r="ES175" s="16"/>
      <c r="ET175" s="5"/>
      <c r="EU175" s="5"/>
      <c r="EV175" s="5"/>
      <c r="EW175" s="5"/>
      <c r="EX175" s="5"/>
      <c r="EY175" s="5"/>
      <c r="EZ175" s="5"/>
      <c r="FA175" s="5"/>
      <c r="FB175" s="16"/>
      <c r="FC175" s="5"/>
      <c r="FD175" s="5"/>
      <c r="FE175" s="5"/>
      <c r="FF175" s="5"/>
      <c r="FG175" s="5"/>
      <c r="FH175" s="5"/>
      <c r="FI175" s="5"/>
      <c r="FJ175" s="5"/>
      <c r="FK175" s="16"/>
      <c r="FL175" s="5"/>
      <c r="FM175" s="5"/>
      <c r="FN175" s="5"/>
      <c r="FO175" s="5"/>
      <c r="FP175" s="5"/>
      <c r="FQ175" s="5"/>
      <c r="FR175" s="5"/>
      <c r="FS175" s="5"/>
      <c r="FT175" s="16"/>
      <c r="FU175" s="16"/>
      <c r="FV175" s="16"/>
      <c r="FW175" s="16"/>
      <c r="FX175" s="16"/>
      <c r="FY175" s="16"/>
      <c r="FZ175" s="16"/>
      <c r="GA175" s="5"/>
      <c r="GB175" s="16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9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16"/>
      <c r="IX175" s="5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</row>
    <row r="176" spans="1:33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99"/>
      <c r="AR176" s="99"/>
      <c r="AS176" s="5"/>
      <c r="AT176" s="5"/>
      <c r="AU176" s="5"/>
      <c r="AV176" s="5"/>
      <c r="AW176" s="5"/>
      <c r="AX176" s="99"/>
      <c r="AY176" s="99"/>
      <c r="AZ176" s="5"/>
      <c r="BA176" s="5"/>
      <c r="BB176" s="5"/>
      <c r="BC176" s="5"/>
      <c r="BD176" s="5"/>
      <c r="BE176" s="5"/>
      <c r="BF176" s="99"/>
      <c r="BG176" s="99"/>
      <c r="BH176" s="5"/>
      <c r="BI176" s="5"/>
      <c r="BJ176" s="5"/>
      <c r="BK176" s="5"/>
      <c r="BL176" s="5"/>
      <c r="BM176" s="99"/>
      <c r="BN176" s="99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5"/>
      <c r="CQ176" s="16"/>
      <c r="CR176" s="16"/>
      <c r="CS176" s="16"/>
      <c r="CT176" s="16"/>
      <c r="CU176" s="16"/>
      <c r="CV176" s="16"/>
      <c r="CW176" s="16"/>
      <c r="CX176" s="16"/>
      <c r="CY176" s="5"/>
      <c r="CZ176" s="16"/>
      <c r="DA176" s="5"/>
      <c r="DB176" s="5"/>
      <c r="DC176" s="5"/>
      <c r="DD176" s="5"/>
      <c r="DE176" s="5"/>
      <c r="DF176" s="5"/>
      <c r="DG176" s="5"/>
      <c r="DH176" s="5"/>
      <c r="DI176" s="16"/>
      <c r="DJ176" s="16"/>
      <c r="DK176" s="16"/>
      <c r="DL176" s="16"/>
      <c r="DM176" s="16"/>
      <c r="DN176" s="16"/>
      <c r="DO176" s="16"/>
      <c r="DP176" s="16"/>
      <c r="DQ176" s="16"/>
      <c r="DR176" s="5"/>
      <c r="DS176" s="16"/>
      <c r="DT176" s="16"/>
      <c r="DU176" s="16"/>
      <c r="DV176" s="16"/>
      <c r="DW176" s="16"/>
      <c r="DX176" s="16"/>
      <c r="DY176" s="16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16"/>
      <c r="EK176" s="16"/>
      <c r="EL176" s="16"/>
      <c r="EM176" s="16"/>
      <c r="EN176" s="16"/>
      <c r="EO176" s="16"/>
      <c r="EP176" s="16"/>
      <c r="EQ176" s="16"/>
      <c r="ER176" s="5"/>
      <c r="ES176" s="16"/>
      <c r="ET176" s="5"/>
      <c r="EU176" s="5"/>
      <c r="EV176" s="5"/>
      <c r="EW176" s="5"/>
      <c r="EX176" s="5"/>
      <c r="EY176" s="5"/>
      <c r="EZ176" s="5"/>
      <c r="FA176" s="5"/>
      <c r="FB176" s="16"/>
      <c r="FC176" s="5"/>
      <c r="FD176" s="5"/>
      <c r="FE176" s="5"/>
      <c r="FF176" s="5"/>
      <c r="FG176" s="5"/>
      <c r="FH176" s="5"/>
      <c r="FI176" s="5"/>
      <c r="FJ176" s="5"/>
      <c r="FK176" s="16"/>
      <c r="FL176" s="5"/>
      <c r="FM176" s="5"/>
      <c r="FN176" s="5"/>
      <c r="FO176" s="5"/>
      <c r="FP176" s="5"/>
      <c r="FQ176" s="5"/>
      <c r="FR176" s="5"/>
      <c r="FS176" s="5"/>
      <c r="FT176" s="16"/>
      <c r="FU176" s="16"/>
      <c r="FV176" s="16"/>
      <c r="FW176" s="16"/>
      <c r="FX176" s="16"/>
      <c r="FY176" s="16"/>
      <c r="FZ176" s="16"/>
      <c r="GA176" s="5"/>
      <c r="GB176" s="16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9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16"/>
      <c r="IX176" s="5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</row>
    <row r="177" spans="1:33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99"/>
      <c r="AR177" s="99"/>
      <c r="AS177" s="5"/>
      <c r="AT177" s="5"/>
      <c r="AU177" s="5"/>
      <c r="AV177" s="5"/>
      <c r="AW177" s="5"/>
      <c r="AX177" s="99"/>
      <c r="AY177" s="99"/>
      <c r="AZ177" s="5"/>
      <c r="BA177" s="5"/>
      <c r="BB177" s="5"/>
      <c r="BC177" s="5"/>
      <c r="BD177" s="5"/>
      <c r="BE177" s="5"/>
      <c r="BF177" s="99"/>
      <c r="BG177" s="99"/>
      <c r="BH177" s="5"/>
      <c r="BI177" s="5"/>
      <c r="BJ177" s="5"/>
      <c r="BK177" s="5"/>
      <c r="BL177" s="5"/>
      <c r="BM177" s="99"/>
      <c r="BN177" s="99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5"/>
      <c r="CQ177" s="16"/>
      <c r="CR177" s="16"/>
      <c r="CS177" s="16"/>
      <c r="CT177" s="16"/>
      <c r="CU177" s="16"/>
      <c r="CV177" s="16"/>
      <c r="CW177" s="16"/>
      <c r="CX177" s="16"/>
      <c r="CY177" s="5"/>
      <c r="CZ177" s="16"/>
      <c r="DA177" s="5"/>
      <c r="DB177" s="5"/>
      <c r="DC177" s="5"/>
      <c r="DD177" s="5"/>
      <c r="DE177" s="5"/>
      <c r="DF177" s="5"/>
      <c r="DG177" s="5"/>
      <c r="DH177" s="5"/>
      <c r="DI177" s="16"/>
      <c r="DJ177" s="16"/>
      <c r="DK177" s="16"/>
      <c r="DL177" s="16"/>
      <c r="DM177" s="16"/>
      <c r="DN177" s="16"/>
      <c r="DO177" s="16"/>
      <c r="DP177" s="16"/>
      <c r="DQ177" s="16"/>
      <c r="DR177" s="5"/>
      <c r="DS177" s="16"/>
      <c r="DT177" s="16"/>
      <c r="DU177" s="16"/>
      <c r="DV177" s="16"/>
      <c r="DW177" s="16"/>
      <c r="DX177" s="16"/>
      <c r="DY177" s="16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16"/>
      <c r="EK177" s="16"/>
      <c r="EL177" s="16"/>
      <c r="EM177" s="16"/>
      <c r="EN177" s="16"/>
      <c r="EO177" s="16"/>
      <c r="EP177" s="16"/>
      <c r="EQ177" s="16"/>
      <c r="ER177" s="5"/>
      <c r="ES177" s="16"/>
      <c r="ET177" s="5"/>
      <c r="EU177" s="5"/>
      <c r="EV177" s="5"/>
      <c r="EW177" s="5"/>
      <c r="EX177" s="5"/>
      <c r="EY177" s="5"/>
      <c r="EZ177" s="5"/>
      <c r="FA177" s="5"/>
      <c r="FB177" s="16"/>
      <c r="FC177" s="5"/>
      <c r="FD177" s="5"/>
      <c r="FE177" s="5"/>
      <c r="FF177" s="5"/>
      <c r="FG177" s="5"/>
      <c r="FH177" s="5"/>
      <c r="FI177" s="5"/>
      <c r="FJ177" s="5"/>
      <c r="FK177" s="16"/>
      <c r="FL177" s="5"/>
      <c r="FM177" s="5"/>
      <c r="FN177" s="5"/>
      <c r="FO177" s="5"/>
      <c r="FP177" s="5"/>
      <c r="FQ177" s="5"/>
      <c r="FR177" s="5"/>
      <c r="FS177" s="5"/>
      <c r="FT177" s="16"/>
      <c r="FU177" s="16"/>
      <c r="FV177" s="16"/>
      <c r="FW177" s="16"/>
      <c r="FX177" s="16"/>
      <c r="FY177" s="16"/>
      <c r="FZ177" s="16"/>
      <c r="GA177" s="5"/>
      <c r="GB177" s="16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9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16"/>
      <c r="IX177" s="5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</row>
    <row r="178" spans="1:33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99"/>
      <c r="AR178" s="99"/>
      <c r="AS178" s="5"/>
      <c r="AT178" s="5"/>
      <c r="AU178" s="5"/>
      <c r="AV178" s="5"/>
      <c r="AW178" s="5"/>
      <c r="AX178" s="99"/>
      <c r="AY178" s="99"/>
      <c r="AZ178" s="5"/>
      <c r="BA178" s="5"/>
      <c r="BB178" s="5"/>
      <c r="BC178" s="5"/>
      <c r="BD178" s="5"/>
      <c r="BE178" s="5"/>
      <c r="BF178" s="99"/>
      <c r="BG178" s="99"/>
      <c r="BH178" s="5"/>
      <c r="BI178" s="5"/>
      <c r="BJ178" s="5"/>
      <c r="BK178" s="5"/>
      <c r="BL178" s="5"/>
      <c r="BM178" s="99"/>
      <c r="BN178" s="99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5"/>
      <c r="CQ178" s="16"/>
      <c r="CR178" s="16"/>
      <c r="CS178" s="16"/>
      <c r="CT178" s="16"/>
      <c r="CU178" s="16"/>
      <c r="CV178" s="16"/>
      <c r="CW178" s="16"/>
      <c r="CX178" s="16"/>
      <c r="CY178" s="5"/>
      <c r="CZ178" s="16"/>
      <c r="DA178" s="5"/>
      <c r="DB178" s="5"/>
      <c r="DC178" s="5"/>
      <c r="DD178" s="5"/>
      <c r="DE178" s="5"/>
      <c r="DF178" s="5"/>
      <c r="DG178" s="5"/>
      <c r="DH178" s="5"/>
      <c r="DI178" s="16"/>
      <c r="DJ178" s="16"/>
      <c r="DK178" s="16"/>
      <c r="DL178" s="16"/>
      <c r="DM178" s="16"/>
      <c r="DN178" s="16"/>
      <c r="DO178" s="16"/>
      <c r="DP178" s="16"/>
      <c r="DQ178" s="16"/>
      <c r="DR178" s="5"/>
      <c r="DS178" s="16"/>
      <c r="DT178" s="16"/>
      <c r="DU178" s="16"/>
      <c r="DV178" s="16"/>
      <c r="DW178" s="16"/>
      <c r="DX178" s="16"/>
      <c r="DY178" s="16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16"/>
      <c r="EK178" s="16"/>
      <c r="EL178" s="16"/>
      <c r="EM178" s="16"/>
      <c r="EN178" s="16"/>
      <c r="EO178" s="16"/>
      <c r="EP178" s="16"/>
      <c r="EQ178" s="16"/>
      <c r="ER178" s="5"/>
      <c r="ES178" s="16"/>
      <c r="ET178" s="5"/>
      <c r="EU178" s="5"/>
      <c r="EV178" s="5"/>
      <c r="EW178" s="5"/>
      <c r="EX178" s="5"/>
      <c r="EY178" s="5"/>
      <c r="EZ178" s="5"/>
      <c r="FA178" s="5"/>
      <c r="FB178" s="16"/>
      <c r="FC178" s="5"/>
      <c r="FD178" s="5"/>
      <c r="FE178" s="5"/>
      <c r="FF178" s="5"/>
      <c r="FG178" s="5"/>
      <c r="FH178" s="5"/>
      <c r="FI178" s="5"/>
      <c r="FJ178" s="5"/>
      <c r="FK178" s="16"/>
      <c r="FL178" s="5"/>
      <c r="FM178" s="5"/>
      <c r="FN178" s="5"/>
      <c r="FO178" s="5"/>
      <c r="FP178" s="5"/>
      <c r="FQ178" s="5"/>
      <c r="FR178" s="5"/>
      <c r="FS178" s="5"/>
      <c r="FT178" s="16"/>
      <c r="FU178" s="16"/>
      <c r="FV178" s="16"/>
      <c r="FW178" s="16"/>
      <c r="FX178" s="16"/>
      <c r="FY178" s="16"/>
      <c r="FZ178" s="16"/>
      <c r="GA178" s="5"/>
      <c r="GB178" s="16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9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16"/>
      <c r="IX178" s="5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</row>
    <row r="179" spans="1:33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99"/>
      <c r="AR179" s="99"/>
      <c r="AS179" s="5"/>
      <c r="AT179" s="5"/>
      <c r="AU179" s="5"/>
      <c r="AV179" s="5"/>
      <c r="AW179" s="5"/>
      <c r="AX179" s="99"/>
      <c r="AY179" s="99"/>
      <c r="AZ179" s="5"/>
      <c r="BA179" s="5"/>
      <c r="BB179" s="5"/>
      <c r="BC179" s="5"/>
      <c r="BD179" s="5"/>
      <c r="BE179" s="5"/>
      <c r="BF179" s="99"/>
      <c r="BG179" s="99"/>
      <c r="BH179" s="5"/>
      <c r="BI179" s="5"/>
      <c r="BJ179" s="5"/>
      <c r="BK179" s="5"/>
      <c r="BL179" s="5"/>
      <c r="BM179" s="99"/>
      <c r="BN179" s="99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5"/>
      <c r="CQ179" s="16"/>
      <c r="CR179" s="16"/>
      <c r="CS179" s="16"/>
      <c r="CT179" s="16"/>
      <c r="CU179" s="16"/>
      <c r="CV179" s="16"/>
      <c r="CW179" s="16"/>
      <c r="CX179" s="16"/>
      <c r="CY179" s="5"/>
      <c r="CZ179" s="16"/>
      <c r="DA179" s="5"/>
      <c r="DB179" s="5"/>
      <c r="DC179" s="5"/>
      <c r="DD179" s="5"/>
      <c r="DE179" s="5"/>
      <c r="DF179" s="5"/>
      <c r="DG179" s="5"/>
      <c r="DH179" s="5"/>
      <c r="DI179" s="16"/>
      <c r="DJ179" s="16"/>
      <c r="DK179" s="16"/>
      <c r="DL179" s="16"/>
      <c r="DM179" s="16"/>
      <c r="DN179" s="16"/>
      <c r="DO179" s="16"/>
      <c r="DP179" s="16"/>
      <c r="DQ179" s="16"/>
      <c r="DR179" s="5"/>
      <c r="DS179" s="16"/>
      <c r="DT179" s="16"/>
      <c r="DU179" s="16"/>
      <c r="DV179" s="16"/>
      <c r="DW179" s="16"/>
      <c r="DX179" s="16"/>
      <c r="DY179" s="16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16"/>
      <c r="EK179" s="16"/>
      <c r="EL179" s="16"/>
      <c r="EM179" s="16"/>
      <c r="EN179" s="16"/>
      <c r="EO179" s="16"/>
      <c r="EP179" s="16"/>
      <c r="EQ179" s="16"/>
      <c r="ER179" s="5"/>
      <c r="ES179" s="16"/>
      <c r="ET179" s="5"/>
      <c r="EU179" s="5"/>
      <c r="EV179" s="5"/>
      <c r="EW179" s="5"/>
      <c r="EX179" s="5"/>
      <c r="EY179" s="5"/>
      <c r="EZ179" s="5"/>
      <c r="FA179" s="5"/>
      <c r="FB179" s="16"/>
      <c r="FC179" s="5"/>
      <c r="FD179" s="5"/>
      <c r="FE179" s="5"/>
      <c r="FF179" s="5"/>
      <c r="FG179" s="5"/>
      <c r="FH179" s="5"/>
      <c r="FI179" s="5"/>
      <c r="FJ179" s="5"/>
      <c r="FK179" s="16"/>
      <c r="FL179" s="5"/>
      <c r="FM179" s="5"/>
      <c r="FN179" s="5"/>
      <c r="FO179" s="5"/>
      <c r="FP179" s="5"/>
      <c r="FQ179" s="5"/>
      <c r="FR179" s="5"/>
      <c r="FS179" s="5"/>
      <c r="FT179" s="16"/>
      <c r="FU179" s="16"/>
      <c r="FV179" s="16"/>
      <c r="FW179" s="16"/>
      <c r="FX179" s="16"/>
      <c r="FY179" s="16"/>
      <c r="FZ179" s="16"/>
      <c r="GA179" s="5"/>
      <c r="GB179" s="16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9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16"/>
      <c r="IX179" s="5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</row>
    <row r="180" spans="1:33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99"/>
      <c r="AR180" s="99"/>
      <c r="AS180" s="5"/>
      <c r="AT180" s="5"/>
      <c r="AU180" s="5"/>
      <c r="AV180" s="5"/>
      <c r="AW180" s="5"/>
      <c r="AX180" s="99"/>
      <c r="AY180" s="99"/>
      <c r="AZ180" s="5"/>
      <c r="BA180" s="5"/>
      <c r="BB180" s="5"/>
      <c r="BC180" s="5"/>
      <c r="BD180" s="5"/>
      <c r="BE180" s="5"/>
      <c r="BF180" s="99"/>
      <c r="BG180" s="99"/>
      <c r="BH180" s="5"/>
      <c r="BI180" s="5"/>
      <c r="BJ180" s="5"/>
      <c r="BK180" s="5"/>
      <c r="BL180" s="5"/>
      <c r="BM180" s="99"/>
      <c r="BN180" s="99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5"/>
      <c r="CQ180" s="16"/>
      <c r="CR180" s="16"/>
      <c r="CS180" s="16"/>
      <c r="CT180" s="16"/>
      <c r="CU180" s="16"/>
      <c r="CV180" s="16"/>
      <c r="CW180" s="16"/>
      <c r="CX180" s="16"/>
      <c r="CY180" s="5"/>
      <c r="CZ180" s="16"/>
      <c r="DA180" s="5"/>
      <c r="DB180" s="5"/>
      <c r="DC180" s="5"/>
      <c r="DD180" s="5"/>
      <c r="DE180" s="5"/>
      <c r="DF180" s="5"/>
      <c r="DG180" s="5"/>
      <c r="DH180" s="5"/>
      <c r="DI180" s="16"/>
      <c r="DJ180" s="16"/>
      <c r="DK180" s="16"/>
      <c r="DL180" s="16"/>
      <c r="DM180" s="16"/>
      <c r="DN180" s="16"/>
      <c r="DO180" s="16"/>
      <c r="DP180" s="16"/>
      <c r="DQ180" s="16"/>
      <c r="DR180" s="5"/>
      <c r="DS180" s="16"/>
      <c r="DT180" s="16"/>
      <c r="DU180" s="16"/>
      <c r="DV180" s="16"/>
      <c r="DW180" s="16"/>
      <c r="DX180" s="16"/>
      <c r="DY180" s="16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16"/>
      <c r="EK180" s="16"/>
      <c r="EL180" s="16"/>
      <c r="EM180" s="16"/>
      <c r="EN180" s="16"/>
      <c r="EO180" s="16"/>
      <c r="EP180" s="16"/>
      <c r="EQ180" s="16"/>
      <c r="ER180" s="5"/>
      <c r="ES180" s="16"/>
      <c r="ET180" s="5"/>
      <c r="EU180" s="5"/>
      <c r="EV180" s="5"/>
      <c r="EW180" s="5"/>
      <c r="EX180" s="5"/>
      <c r="EY180" s="5"/>
      <c r="EZ180" s="5"/>
      <c r="FA180" s="5"/>
      <c r="FB180" s="16"/>
      <c r="FC180" s="5"/>
      <c r="FD180" s="5"/>
      <c r="FE180" s="5"/>
      <c r="FF180" s="5"/>
      <c r="FG180" s="5"/>
      <c r="FH180" s="5"/>
      <c r="FI180" s="5"/>
      <c r="FJ180" s="5"/>
      <c r="FK180" s="16"/>
      <c r="FL180" s="5"/>
      <c r="FM180" s="5"/>
      <c r="FN180" s="5"/>
      <c r="FO180" s="5"/>
      <c r="FP180" s="5"/>
      <c r="FQ180" s="5"/>
      <c r="FR180" s="5"/>
      <c r="FS180" s="5"/>
      <c r="FT180" s="16"/>
      <c r="FU180" s="16"/>
      <c r="FV180" s="16"/>
      <c r="FW180" s="16"/>
      <c r="FX180" s="16"/>
      <c r="FY180" s="16"/>
      <c r="FZ180" s="16"/>
      <c r="GA180" s="5"/>
      <c r="GB180" s="16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9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16"/>
      <c r="IX180" s="5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</row>
    <row r="181" spans="1:33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99"/>
      <c r="AR181" s="99"/>
      <c r="AS181" s="5"/>
      <c r="AT181" s="5"/>
      <c r="AU181" s="5"/>
      <c r="AV181" s="5"/>
      <c r="AW181" s="5"/>
      <c r="AX181" s="99"/>
      <c r="AY181" s="99"/>
      <c r="AZ181" s="5"/>
      <c r="BA181" s="5"/>
      <c r="BB181" s="5"/>
      <c r="BC181" s="5"/>
      <c r="BD181" s="5"/>
      <c r="BE181" s="5"/>
      <c r="BF181" s="99"/>
      <c r="BG181" s="99"/>
      <c r="BH181" s="5"/>
      <c r="BI181" s="5"/>
      <c r="BJ181" s="5"/>
      <c r="BK181" s="5"/>
      <c r="BL181" s="5"/>
      <c r="BM181" s="99"/>
      <c r="BN181" s="99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5"/>
      <c r="CQ181" s="16"/>
      <c r="CR181" s="16"/>
      <c r="CS181" s="16"/>
      <c r="CT181" s="16"/>
      <c r="CU181" s="16"/>
      <c r="CV181" s="16"/>
      <c r="CW181" s="16"/>
      <c r="CX181" s="16"/>
      <c r="CY181" s="5"/>
      <c r="CZ181" s="16"/>
      <c r="DA181" s="5"/>
      <c r="DB181" s="5"/>
      <c r="DC181" s="5"/>
      <c r="DD181" s="5"/>
      <c r="DE181" s="5"/>
      <c r="DF181" s="5"/>
      <c r="DG181" s="5"/>
      <c r="DH181" s="5"/>
      <c r="DI181" s="16"/>
      <c r="DJ181" s="16"/>
      <c r="DK181" s="16"/>
      <c r="DL181" s="16"/>
      <c r="DM181" s="16"/>
      <c r="DN181" s="16"/>
      <c r="DO181" s="16"/>
      <c r="DP181" s="16"/>
      <c r="DQ181" s="16"/>
      <c r="DR181" s="5"/>
      <c r="DS181" s="16"/>
      <c r="DT181" s="16"/>
      <c r="DU181" s="16"/>
      <c r="DV181" s="16"/>
      <c r="DW181" s="16"/>
      <c r="DX181" s="16"/>
      <c r="DY181" s="16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16"/>
      <c r="EK181" s="16"/>
      <c r="EL181" s="16"/>
      <c r="EM181" s="16"/>
      <c r="EN181" s="16"/>
      <c r="EO181" s="16"/>
      <c r="EP181" s="16"/>
      <c r="EQ181" s="16"/>
      <c r="ER181" s="5"/>
      <c r="ES181" s="16"/>
      <c r="ET181" s="5"/>
      <c r="EU181" s="5"/>
      <c r="EV181" s="5"/>
      <c r="EW181" s="5"/>
      <c r="EX181" s="5"/>
      <c r="EY181" s="5"/>
      <c r="EZ181" s="5"/>
      <c r="FA181" s="5"/>
      <c r="FB181" s="16"/>
      <c r="FC181" s="5"/>
      <c r="FD181" s="5"/>
      <c r="FE181" s="5"/>
      <c r="FF181" s="5"/>
      <c r="FG181" s="5"/>
      <c r="FH181" s="5"/>
      <c r="FI181" s="5"/>
      <c r="FJ181" s="5"/>
      <c r="FK181" s="16"/>
      <c r="FL181" s="5"/>
      <c r="FM181" s="5"/>
      <c r="FN181" s="5"/>
      <c r="FO181" s="5"/>
      <c r="FP181" s="5"/>
      <c r="FQ181" s="5"/>
      <c r="FR181" s="5"/>
      <c r="FS181" s="5"/>
      <c r="FT181" s="16"/>
      <c r="FU181" s="16"/>
      <c r="FV181" s="16"/>
      <c r="FW181" s="16"/>
      <c r="FX181" s="16"/>
      <c r="FY181" s="16"/>
      <c r="FZ181" s="16"/>
      <c r="GA181" s="5"/>
      <c r="GB181" s="16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9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16"/>
      <c r="IX181" s="5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</row>
    <row r="182" spans="1:33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99"/>
      <c r="AR182" s="99"/>
      <c r="AS182" s="5"/>
      <c r="AT182" s="5"/>
      <c r="AU182" s="5"/>
      <c r="AV182" s="5"/>
      <c r="AW182" s="5"/>
      <c r="AX182" s="99"/>
      <c r="AY182" s="99"/>
      <c r="AZ182" s="5"/>
      <c r="BA182" s="5"/>
      <c r="BB182" s="5"/>
      <c r="BC182" s="5"/>
      <c r="BD182" s="5"/>
      <c r="BE182" s="5"/>
      <c r="BF182" s="99"/>
      <c r="BG182" s="99"/>
      <c r="BH182" s="5"/>
      <c r="BI182" s="5"/>
      <c r="BJ182" s="5"/>
      <c r="BK182" s="5"/>
      <c r="BL182" s="5"/>
      <c r="BM182" s="99"/>
      <c r="BN182" s="99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5"/>
      <c r="CQ182" s="16"/>
      <c r="CR182" s="16"/>
      <c r="CS182" s="16"/>
      <c r="CT182" s="16"/>
      <c r="CU182" s="16"/>
      <c r="CV182" s="16"/>
      <c r="CW182" s="16"/>
      <c r="CX182" s="16"/>
      <c r="CY182" s="5"/>
      <c r="CZ182" s="16"/>
      <c r="DA182" s="5"/>
      <c r="DB182" s="5"/>
      <c r="DC182" s="5"/>
      <c r="DD182" s="5"/>
      <c r="DE182" s="5"/>
      <c r="DF182" s="5"/>
      <c r="DG182" s="5"/>
      <c r="DH182" s="5"/>
      <c r="DI182" s="16"/>
      <c r="DJ182" s="16"/>
      <c r="DK182" s="16"/>
      <c r="DL182" s="16"/>
      <c r="DM182" s="16"/>
      <c r="DN182" s="16"/>
      <c r="DO182" s="16"/>
      <c r="DP182" s="16"/>
      <c r="DQ182" s="16"/>
      <c r="DR182" s="5"/>
      <c r="DS182" s="16"/>
      <c r="DT182" s="16"/>
      <c r="DU182" s="16"/>
      <c r="DV182" s="16"/>
      <c r="DW182" s="16"/>
      <c r="DX182" s="16"/>
      <c r="DY182" s="16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16"/>
      <c r="EK182" s="16"/>
      <c r="EL182" s="16"/>
      <c r="EM182" s="16"/>
      <c r="EN182" s="16"/>
      <c r="EO182" s="16"/>
      <c r="EP182" s="16"/>
      <c r="EQ182" s="16"/>
      <c r="ER182" s="5"/>
      <c r="ES182" s="16"/>
      <c r="ET182" s="5"/>
      <c r="EU182" s="5"/>
      <c r="EV182" s="5"/>
      <c r="EW182" s="5"/>
      <c r="EX182" s="5"/>
      <c r="EY182" s="5"/>
      <c r="EZ182" s="5"/>
      <c r="FA182" s="5"/>
      <c r="FB182" s="16"/>
      <c r="FC182" s="5"/>
      <c r="FD182" s="5"/>
      <c r="FE182" s="5"/>
      <c r="FF182" s="5"/>
      <c r="FG182" s="5"/>
      <c r="FH182" s="5"/>
      <c r="FI182" s="5"/>
      <c r="FJ182" s="5"/>
      <c r="FK182" s="16"/>
      <c r="FL182" s="5"/>
      <c r="FM182" s="5"/>
      <c r="FN182" s="5"/>
      <c r="FO182" s="5"/>
      <c r="FP182" s="5"/>
      <c r="FQ182" s="5"/>
      <c r="FR182" s="5"/>
      <c r="FS182" s="5"/>
      <c r="FT182" s="16"/>
      <c r="FU182" s="16"/>
      <c r="FV182" s="16"/>
      <c r="FW182" s="16"/>
      <c r="FX182" s="16"/>
      <c r="FY182" s="16"/>
      <c r="FZ182" s="16"/>
      <c r="GA182" s="5"/>
      <c r="GB182" s="16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9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16"/>
      <c r="IX182" s="5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</row>
    <row r="183" spans="1:33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99"/>
      <c r="AR183" s="99"/>
      <c r="AS183" s="5"/>
      <c r="AT183" s="5"/>
      <c r="AU183" s="5"/>
      <c r="AV183" s="5"/>
      <c r="AW183" s="5"/>
      <c r="AX183" s="99"/>
      <c r="AY183" s="99"/>
      <c r="AZ183" s="5"/>
      <c r="BA183" s="5"/>
      <c r="BB183" s="5"/>
      <c r="BC183" s="5"/>
      <c r="BD183" s="5"/>
      <c r="BE183" s="5"/>
      <c r="BF183" s="99"/>
      <c r="BG183" s="99"/>
      <c r="BH183" s="5"/>
      <c r="BI183" s="5"/>
      <c r="BJ183" s="5"/>
      <c r="BK183" s="5"/>
      <c r="BL183" s="5"/>
      <c r="BM183" s="99"/>
      <c r="BN183" s="99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5"/>
      <c r="CQ183" s="16"/>
      <c r="CR183" s="16"/>
      <c r="CS183" s="16"/>
      <c r="CT183" s="16"/>
      <c r="CU183" s="16"/>
      <c r="CV183" s="16"/>
      <c r="CW183" s="16"/>
      <c r="CX183" s="16"/>
      <c r="CY183" s="5"/>
      <c r="CZ183" s="16"/>
      <c r="DA183" s="5"/>
      <c r="DB183" s="5"/>
      <c r="DC183" s="5"/>
      <c r="DD183" s="5"/>
      <c r="DE183" s="5"/>
      <c r="DF183" s="5"/>
      <c r="DG183" s="5"/>
      <c r="DH183" s="5"/>
      <c r="DI183" s="16"/>
      <c r="DJ183" s="16"/>
      <c r="DK183" s="16"/>
      <c r="DL183" s="16"/>
      <c r="DM183" s="16"/>
      <c r="DN183" s="16"/>
      <c r="DO183" s="16"/>
      <c r="DP183" s="16"/>
      <c r="DQ183" s="16"/>
      <c r="DR183" s="5"/>
      <c r="DS183" s="16"/>
      <c r="DT183" s="16"/>
      <c r="DU183" s="16"/>
      <c r="DV183" s="16"/>
      <c r="DW183" s="16"/>
      <c r="DX183" s="16"/>
      <c r="DY183" s="16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16"/>
      <c r="EK183" s="16"/>
      <c r="EL183" s="16"/>
      <c r="EM183" s="16"/>
      <c r="EN183" s="16"/>
      <c r="EO183" s="16"/>
      <c r="EP183" s="16"/>
      <c r="EQ183" s="16"/>
      <c r="ER183" s="5"/>
      <c r="ES183" s="16"/>
      <c r="ET183" s="5"/>
      <c r="EU183" s="5"/>
      <c r="EV183" s="5"/>
      <c r="EW183" s="5"/>
      <c r="EX183" s="5"/>
      <c r="EY183" s="5"/>
      <c r="EZ183" s="5"/>
      <c r="FA183" s="5"/>
      <c r="FB183" s="16"/>
      <c r="FC183" s="5"/>
      <c r="FD183" s="5"/>
      <c r="FE183" s="5"/>
      <c r="FF183" s="5"/>
      <c r="FG183" s="5"/>
      <c r="FH183" s="5"/>
      <c r="FI183" s="5"/>
      <c r="FJ183" s="5"/>
      <c r="FK183" s="16"/>
      <c r="FL183" s="5"/>
      <c r="FM183" s="5"/>
      <c r="FN183" s="5"/>
      <c r="FO183" s="5"/>
      <c r="FP183" s="5"/>
      <c r="FQ183" s="5"/>
      <c r="FR183" s="5"/>
      <c r="FS183" s="5"/>
      <c r="FT183" s="16"/>
      <c r="FU183" s="16"/>
      <c r="FV183" s="16"/>
      <c r="FW183" s="16"/>
      <c r="FX183" s="16"/>
      <c r="FY183" s="16"/>
      <c r="FZ183" s="16"/>
      <c r="GA183" s="5"/>
      <c r="GB183" s="16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9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16"/>
      <c r="IX183" s="5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</row>
    <row r="184" spans="1:33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99"/>
      <c r="AR184" s="99"/>
      <c r="AS184" s="5"/>
      <c r="AT184" s="5"/>
      <c r="AU184" s="5"/>
      <c r="AV184" s="5"/>
      <c r="AW184" s="5"/>
      <c r="AX184" s="99"/>
      <c r="AY184" s="99"/>
      <c r="AZ184" s="5"/>
      <c r="BA184" s="5"/>
      <c r="BB184" s="5"/>
      <c r="BC184" s="5"/>
      <c r="BD184" s="5"/>
      <c r="BE184" s="5"/>
      <c r="BF184" s="99"/>
      <c r="BG184" s="99"/>
      <c r="BH184" s="5"/>
      <c r="BI184" s="5"/>
      <c r="BJ184" s="5"/>
      <c r="BK184" s="5"/>
      <c r="BL184" s="5"/>
      <c r="BM184" s="99"/>
      <c r="BN184" s="99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5"/>
      <c r="CQ184" s="16"/>
      <c r="CR184" s="16"/>
      <c r="CS184" s="16"/>
      <c r="CT184" s="16"/>
      <c r="CU184" s="16"/>
      <c r="CV184" s="16"/>
      <c r="CW184" s="16"/>
      <c r="CX184" s="16"/>
      <c r="CY184" s="5"/>
      <c r="CZ184" s="16"/>
      <c r="DA184" s="5"/>
      <c r="DB184" s="5"/>
      <c r="DC184" s="5"/>
      <c r="DD184" s="5"/>
      <c r="DE184" s="5"/>
      <c r="DF184" s="5"/>
      <c r="DG184" s="5"/>
      <c r="DH184" s="5"/>
      <c r="DI184" s="16"/>
      <c r="DJ184" s="16"/>
      <c r="DK184" s="16"/>
      <c r="DL184" s="16"/>
      <c r="DM184" s="16"/>
      <c r="DN184" s="16"/>
      <c r="DO184" s="16"/>
      <c r="DP184" s="16"/>
      <c r="DQ184" s="16"/>
      <c r="DR184" s="5"/>
      <c r="DS184" s="16"/>
      <c r="DT184" s="16"/>
      <c r="DU184" s="16"/>
      <c r="DV184" s="16"/>
      <c r="DW184" s="16"/>
      <c r="DX184" s="16"/>
      <c r="DY184" s="16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16"/>
      <c r="EK184" s="16"/>
      <c r="EL184" s="16"/>
      <c r="EM184" s="16"/>
      <c r="EN184" s="16"/>
      <c r="EO184" s="16"/>
      <c r="EP184" s="16"/>
      <c r="EQ184" s="16"/>
      <c r="ER184" s="5"/>
      <c r="ES184" s="16"/>
      <c r="ET184" s="5"/>
      <c r="EU184" s="5"/>
      <c r="EV184" s="5"/>
      <c r="EW184" s="5"/>
      <c r="EX184" s="5"/>
      <c r="EY184" s="5"/>
      <c r="EZ184" s="5"/>
      <c r="FA184" s="5"/>
      <c r="FB184" s="16"/>
      <c r="FC184" s="5"/>
      <c r="FD184" s="5"/>
      <c r="FE184" s="5"/>
      <c r="FF184" s="5"/>
      <c r="FG184" s="5"/>
      <c r="FH184" s="5"/>
      <c r="FI184" s="5"/>
      <c r="FJ184" s="5"/>
      <c r="FK184" s="16"/>
      <c r="FL184" s="5"/>
      <c r="FM184" s="5"/>
      <c r="FN184" s="5"/>
      <c r="FO184" s="5"/>
      <c r="FP184" s="5"/>
      <c r="FQ184" s="5"/>
      <c r="FR184" s="5"/>
      <c r="FS184" s="5"/>
      <c r="FT184" s="16"/>
      <c r="FU184" s="16"/>
      <c r="FV184" s="16"/>
      <c r="FW184" s="16"/>
      <c r="FX184" s="16"/>
      <c r="FY184" s="16"/>
      <c r="FZ184" s="16"/>
      <c r="GA184" s="5"/>
      <c r="GB184" s="16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9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16"/>
      <c r="IX184" s="5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</row>
    <row r="185" spans="1:33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99"/>
      <c r="AR185" s="99"/>
      <c r="AS185" s="5"/>
      <c r="AT185" s="5"/>
      <c r="AU185" s="5"/>
      <c r="AV185" s="5"/>
      <c r="AW185" s="5"/>
      <c r="AX185" s="99"/>
      <c r="AY185" s="99"/>
      <c r="AZ185" s="5"/>
      <c r="BA185" s="5"/>
      <c r="BB185" s="5"/>
      <c r="BC185" s="5"/>
      <c r="BD185" s="5"/>
      <c r="BE185" s="5"/>
      <c r="BF185" s="99"/>
      <c r="BG185" s="99"/>
      <c r="BH185" s="5"/>
      <c r="BI185" s="5"/>
      <c r="BJ185" s="5"/>
      <c r="BK185" s="5"/>
      <c r="BL185" s="5"/>
      <c r="BM185" s="99"/>
      <c r="BN185" s="99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5"/>
      <c r="CQ185" s="16"/>
      <c r="CR185" s="16"/>
      <c r="CS185" s="16"/>
      <c r="CT185" s="16"/>
      <c r="CU185" s="16"/>
      <c r="CV185" s="16"/>
      <c r="CW185" s="16"/>
      <c r="CX185" s="16"/>
      <c r="CY185" s="5"/>
      <c r="CZ185" s="16"/>
      <c r="DA185" s="5"/>
      <c r="DB185" s="5"/>
      <c r="DC185" s="5"/>
      <c r="DD185" s="5"/>
      <c r="DE185" s="5"/>
      <c r="DF185" s="5"/>
      <c r="DG185" s="5"/>
      <c r="DH185" s="5"/>
      <c r="DI185" s="16"/>
      <c r="DJ185" s="16"/>
      <c r="DK185" s="16"/>
      <c r="DL185" s="16"/>
      <c r="DM185" s="16"/>
      <c r="DN185" s="16"/>
      <c r="DO185" s="16"/>
      <c r="DP185" s="16"/>
      <c r="DQ185" s="16"/>
      <c r="DR185" s="5"/>
      <c r="DS185" s="16"/>
      <c r="DT185" s="16"/>
      <c r="DU185" s="16"/>
      <c r="DV185" s="16"/>
      <c r="DW185" s="16"/>
      <c r="DX185" s="16"/>
      <c r="DY185" s="16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16"/>
      <c r="EK185" s="16"/>
      <c r="EL185" s="16"/>
      <c r="EM185" s="16"/>
      <c r="EN185" s="16"/>
      <c r="EO185" s="16"/>
      <c r="EP185" s="16"/>
      <c r="EQ185" s="16"/>
      <c r="ER185" s="5"/>
      <c r="ES185" s="16"/>
      <c r="ET185" s="5"/>
      <c r="EU185" s="5"/>
      <c r="EV185" s="5"/>
      <c r="EW185" s="5"/>
      <c r="EX185" s="5"/>
      <c r="EY185" s="5"/>
      <c r="EZ185" s="5"/>
      <c r="FA185" s="5"/>
      <c r="FB185" s="16"/>
      <c r="FC185" s="5"/>
      <c r="FD185" s="5"/>
      <c r="FE185" s="5"/>
      <c r="FF185" s="5"/>
      <c r="FG185" s="5"/>
      <c r="FH185" s="5"/>
      <c r="FI185" s="5"/>
      <c r="FJ185" s="5"/>
      <c r="FK185" s="16"/>
      <c r="FL185" s="5"/>
      <c r="FM185" s="5"/>
      <c r="FN185" s="5"/>
      <c r="FO185" s="5"/>
      <c r="FP185" s="5"/>
      <c r="FQ185" s="5"/>
      <c r="FR185" s="5"/>
      <c r="FS185" s="5"/>
      <c r="FT185" s="16"/>
      <c r="FU185" s="16"/>
      <c r="FV185" s="16"/>
      <c r="FW185" s="16"/>
      <c r="FX185" s="16"/>
      <c r="FY185" s="16"/>
      <c r="FZ185" s="16"/>
      <c r="GA185" s="5"/>
      <c r="GB185" s="16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9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16"/>
      <c r="IX185" s="5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</row>
    <row r="186" spans="1:33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99"/>
      <c r="AR186" s="99"/>
      <c r="AS186" s="5"/>
      <c r="AT186" s="5"/>
      <c r="AU186" s="5"/>
      <c r="AV186" s="5"/>
      <c r="AW186" s="5"/>
      <c r="AX186" s="99"/>
      <c r="AY186" s="99"/>
      <c r="AZ186" s="5"/>
      <c r="BA186" s="5"/>
      <c r="BB186" s="5"/>
      <c r="BC186" s="5"/>
      <c r="BD186" s="5"/>
      <c r="BE186" s="5"/>
      <c r="BF186" s="99"/>
      <c r="BG186" s="99"/>
      <c r="BH186" s="5"/>
      <c r="BI186" s="5"/>
      <c r="BJ186" s="5"/>
      <c r="BK186" s="5"/>
      <c r="BL186" s="5"/>
      <c r="BM186" s="99"/>
      <c r="BN186" s="99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5"/>
      <c r="CQ186" s="16"/>
      <c r="CR186" s="16"/>
      <c r="CS186" s="16"/>
      <c r="CT186" s="16"/>
      <c r="CU186" s="16"/>
      <c r="CV186" s="16"/>
      <c r="CW186" s="16"/>
      <c r="CX186" s="16"/>
      <c r="CY186" s="5"/>
      <c r="CZ186" s="16"/>
      <c r="DA186" s="5"/>
      <c r="DB186" s="5"/>
      <c r="DC186" s="5"/>
      <c r="DD186" s="5"/>
      <c r="DE186" s="5"/>
      <c r="DF186" s="5"/>
      <c r="DG186" s="5"/>
      <c r="DH186" s="5"/>
      <c r="DI186" s="16"/>
      <c r="DJ186" s="16"/>
      <c r="DK186" s="16"/>
      <c r="DL186" s="16"/>
      <c r="DM186" s="16"/>
      <c r="DN186" s="16"/>
      <c r="DO186" s="16"/>
      <c r="DP186" s="16"/>
      <c r="DQ186" s="16"/>
      <c r="DR186" s="5"/>
      <c r="DS186" s="16"/>
      <c r="DT186" s="16"/>
      <c r="DU186" s="16"/>
      <c r="DV186" s="16"/>
      <c r="DW186" s="16"/>
      <c r="DX186" s="16"/>
      <c r="DY186" s="16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16"/>
      <c r="EK186" s="16"/>
      <c r="EL186" s="16"/>
      <c r="EM186" s="16"/>
      <c r="EN186" s="16"/>
      <c r="EO186" s="16"/>
      <c r="EP186" s="16"/>
      <c r="EQ186" s="16"/>
      <c r="ER186" s="5"/>
      <c r="ES186" s="16"/>
      <c r="ET186" s="5"/>
      <c r="EU186" s="5"/>
      <c r="EV186" s="5"/>
      <c r="EW186" s="5"/>
      <c r="EX186" s="5"/>
      <c r="EY186" s="5"/>
      <c r="EZ186" s="5"/>
      <c r="FA186" s="5"/>
      <c r="FB186" s="16"/>
      <c r="FC186" s="5"/>
      <c r="FD186" s="5"/>
      <c r="FE186" s="5"/>
      <c r="FF186" s="5"/>
      <c r="FG186" s="5"/>
      <c r="FH186" s="5"/>
      <c r="FI186" s="5"/>
      <c r="FJ186" s="5"/>
      <c r="FK186" s="16"/>
      <c r="FL186" s="5"/>
      <c r="FM186" s="5"/>
      <c r="FN186" s="5"/>
      <c r="FO186" s="5"/>
      <c r="FP186" s="5"/>
      <c r="FQ186" s="5"/>
      <c r="FR186" s="5"/>
      <c r="FS186" s="5"/>
      <c r="FT186" s="16"/>
      <c r="FU186" s="16"/>
      <c r="FV186" s="16"/>
      <c r="FW186" s="16"/>
      <c r="FX186" s="16"/>
      <c r="FY186" s="16"/>
      <c r="FZ186" s="16"/>
      <c r="GA186" s="5"/>
      <c r="GB186" s="16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9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16"/>
      <c r="IX186" s="5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</row>
    <row r="187" spans="1:33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99"/>
      <c r="AR187" s="99"/>
      <c r="AS187" s="5"/>
      <c r="AT187" s="5"/>
      <c r="AU187" s="5"/>
      <c r="AV187" s="5"/>
      <c r="AW187" s="5"/>
      <c r="AX187" s="99"/>
      <c r="AY187" s="99"/>
      <c r="AZ187" s="5"/>
      <c r="BA187" s="5"/>
      <c r="BB187" s="5"/>
      <c r="BC187" s="5"/>
      <c r="BD187" s="5"/>
      <c r="BE187" s="5"/>
      <c r="BF187" s="99"/>
      <c r="BG187" s="99"/>
      <c r="BH187" s="5"/>
      <c r="BI187" s="5"/>
      <c r="BJ187" s="5"/>
      <c r="BK187" s="5"/>
      <c r="BL187" s="5"/>
      <c r="BM187" s="99"/>
      <c r="BN187" s="99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5"/>
      <c r="CQ187" s="16"/>
      <c r="CR187" s="16"/>
      <c r="CS187" s="16"/>
      <c r="CT187" s="16"/>
      <c r="CU187" s="16"/>
      <c r="CV187" s="16"/>
      <c r="CW187" s="16"/>
      <c r="CX187" s="16"/>
      <c r="CY187" s="5"/>
      <c r="CZ187" s="16"/>
      <c r="DA187" s="5"/>
      <c r="DB187" s="5"/>
      <c r="DC187" s="5"/>
      <c r="DD187" s="5"/>
      <c r="DE187" s="5"/>
      <c r="DF187" s="5"/>
      <c r="DG187" s="5"/>
      <c r="DH187" s="5"/>
      <c r="DI187" s="16"/>
      <c r="DJ187" s="16"/>
      <c r="DK187" s="16"/>
      <c r="DL187" s="16"/>
      <c r="DM187" s="16"/>
      <c r="DN187" s="16"/>
      <c r="DO187" s="16"/>
      <c r="DP187" s="16"/>
      <c r="DQ187" s="16"/>
      <c r="DR187" s="5"/>
      <c r="DS187" s="16"/>
      <c r="DT187" s="16"/>
      <c r="DU187" s="16"/>
      <c r="DV187" s="16"/>
      <c r="DW187" s="16"/>
      <c r="DX187" s="16"/>
      <c r="DY187" s="16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16"/>
      <c r="EK187" s="16"/>
      <c r="EL187" s="16"/>
      <c r="EM187" s="16"/>
      <c r="EN187" s="16"/>
      <c r="EO187" s="16"/>
      <c r="EP187" s="16"/>
      <c r="EQ187" s="16"/>
      <c r="ER187" s="5"/>
      <c r="ES187" s="16"/>
      <c r="ET187" s="5"/>
      <c r="EU187" s="5"/>
      <c r="EV187" s="5"/>
      <c r="EW187" s="5"/>
      <c r="EX187" s="5"/>
      <c r="EY187" s="5"/>
      <c r="EZ187" s="5"/>
      <c r="FA187" s="5"/>
      <c r="FB187" s="16"/>
      <c r="FC187" s="5"/>
      <c r="FD187" s="5"/>
      <c r="FE187" s="5"/>
      <c r="FF187" s="5"/>
      <c r="FG187" s="5"/>
      <c r="FH187" s="5"/>
      <c r="FI187" s="5"/>
      <c r="FJ187" s="5"/>
      <c r="FK187" s="16"/>
      <c r="FL187" s="5"/>
      <c r="FM187" s="5"/>
      <c r="FN187" s="5"/>
      <c r="FO187" s="5"/>
      <c r="FP187" s="5"/>
      <c r="FQ187" s="5"/>
      <c r="FR187" s="5"/>
      <c r="FS187" s="5"/>
      <c r="FT187" s="16"/>
      <c r="FU187" s="16"/>
      <c r="FV187" s="16"/>
      <c r="FW187" s="16"/>
      <c r="FX187" s="16"/>
      <c r="FY187" s="16"/>
      <c r="FZ187" s="16"/>
      <c r="GA187" s="5"/>
      <c r="GB187" s="16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9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16"/>
      <c r="IX187" s="5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</row>
    <row r="188" spans="1:33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99"/>
      <c r="AR188" s="99"/>
      <c r="AS188" s="5"/>
      <c r="AT188" s="5"/>
      <c r="AU188" s="5"/>
      <c r="AV188" s="5"/>
      <c r="AW188" s="5"/>
      <c r="AX188" s="99"/>
      <c r="AY188" s="99"/>
      <c r="AZ188" s="5"/>
      <c r="BA188" s="5"/>
      <c r="BB188" s="5"/>
      <c r="BC188" s="5"/>
      <c r="BD188" s="5"/>
      <c r="BE188" s="5"/>
      <c r="BF188" s="99"/>
      <c r="BG188" s="99"/>
      <c r="BH188" s="5"/>
      <c r="BI188" s="5"/>
      <c r="BJ188" s="5"/>
      <c r="BK188" s="5"/>
      <c r="BL188" s="5"/>
      <c r="BM188" s="99"/>
      <c r="BN188" s="99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5"/>
      <c r="CQ188" s="16"/>
      <c r="CR188" s="16"/>
      <c r="CS188" s="16"/>
      <c r="CT188" s="16"/>
      <c r="CU188" s="16"/>
      <c r="CV188" s="16"/>
      <c r="CW188" s="16"/>
      <c r="CX188" s="16"/>
      <c r="CY188" s="5"/>
      <c r="CZ188" s="16"/>
      <c r="DA188" s="5"/>
      <c r="DB188" s="5"/>
      <c r="DC188" s="5"/>
      <c r="DD188" s="5"/>
      <c r="DE188" s="5"/>
      <c r="DF188" s="5"/>
      <c r="DG188" s="5"/>
      <c r="DH188" s="5"/>
      <c r="DI188" s="16"/>
      <c r="DJ188" s="16"/>
      <c r="DK188" s="16"/>
      <c r="DL188" s="16"/>
      <c r="DM188" s="16"/>
      <c r="DN188" s="16"/>
      <c r="DO188" s="16"/>
      <c r="DP188" s="16"/>
      <c r="DQ188" s="16"/>
      <c r="DR188" s="5"/>
      <c r="DS188" s="16"/>
      <c r="DT188" s="16"/>
      <c r="DU188" s="16"/>
      <c r="DV188" s="16"/>
      <c r="DW188" s="16"/>
      <c r="DX188" s="16"/>
      <c r="DY188" s="16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16"/>
      <c r="EK188" s="16"/>
      <c r="EL188" s="16"/>
      <c r="EM188" s="16"/>
      <c r="EN188" s="16"/>
      <c r="EO188" s="16"/>
      <c r="EP188" s="16"/>
      <c r="EQ188" s="16"/>
      <c r="ER188" s="5"/>
      <c r="ES188" s="16"/>
      <c r="ET188" s="5"/>
      <c r="EU188" s="5"/>
      <c r="EV188" s="5"/>
      <c r="EW188" s="5"/>
      <c r="EX188" s="5"/>
      <c r="EY188" s="5"/>
      <c r="EZ188" s="5"/>
      <c r="FA188" s="5"/>
      <c r="FB188" s="16"/>
      <c r="FC188" s="5"/>
      <c r="FD188" s="5"/>
      <c r="FE188" s="5"/>
      <c r="FF188" s="5"/>
      <c r="FG188" s="5"/>
      <c r="FH188" s="5"/>
      <c r="FI188" s="5"/>
      <c r="FJ188" s="5"/>
      <c r="FK188" s="16"/>
      <c r="FL188" s="5"/>
      <c r="FM188" s="5"/>
      <c r="FN188" s="5"/>
      <c r="FO188" s="5"/>
      <c r="FP188" s="5"/>
      <c r="FQ188" s="5"/>
      <c r="FR188" s="5"/>
      <c r="FS188" s="5"/>
      <c r="FT188" s="16"/>
      <c r="FU188" s="16"/>
      <c r="FV188" s="16"/>
      <c r="FW188" s="16"/>
      <c r="FX188" s="16"/>
      <c r="FY188" s="16"/>
      <c r="FZ188" s="16"/>
      <c r="GA188" s="5"/>
      <c r="GB188" s="16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9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16"/>
      <c r="IX188" s="5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</row>
    <row r="189" spans="1:33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99"/>
      <c r="AR189" s="99"/>
      <c r="AS189" s="5"/>
      <c r="AT189" s="5"/>
      <c r="AU189" s="5"/>
      <c r="AV189" s="5"/>
      <c r="AW189" s="5"/>
      <c r="AX189" s="99"/>
      <c r="AY189" s="99"/>
      <c r="AZ189" s="5"/>
      <c r="BA189" s="5"/>
      <c r="BB189" s="5"/>
      <c r="BC189" s="5"/>
      <c r="BD189" s="5"/>
      <c r="BE189" s="5"/>
      <c r="BF189" s="99"/>
      <c r="BG189" s="99"/>
      <c r="BH189" s="5"/>
      <c r="BI189" s="5"/>
      <c r="BJ189" s="5"/>
      <c r="BK189" s="5"/>
      <c r="BL189" s="5"/>
      <c r="BM189" s="99"/>
      <c r="BN189" s="99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5"/>
      <c r="CQ189" s="16"/>
      <c r="CR189" s="16"/>
      <c r="CS189" s="16"/>
      <c r="CT189" s="16"/>
      <c r="CU189" s="16"/>
      <c r="CV189" s="16"/>
      <c r="CW189" s="16"/>
      <c r="CX189" s="16"/>
      <c r="CY189" s="5"/>
      <c r="CZ189" s="16"/>
      <c r="DA189" s="5"/>
      <c r="DB189" s="5"/>
      <c r="DC189" s="5"/>
      <c r="DD189" s="5"/>
      <c r="DE189" s="5"/>
      <c r="DF189" s="5"/>
      <c r="DG189" s="5"/>
      <c r="DH189" s="5"/>
      <c r="DI189" s="16"/>
      <c r="DJ189" s="16"/>
      <c r="DK189" s="16"/>
      <c r="DL189" s="16"/>
      <c r="DM189" s="16"/>
      <c r="DN189" s="16"/>
      <c r="DO189" s="16"/>
      <c r="DP189" s="16"/>
      <c r="DQ189" s="16"/>
      <c r="DR189" s="5"/>
      <c r="DS189" s="16"/>
      <c r="DT189" s="16"/>
      <c r="DU189" s="16"/>
      <c r="DV189" s="16"/>
      <c r="DW189" s="16"/>
      <c r="DX189" s="16"/>
      <c r="DY189" s="16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16"/>
      <c r="EK189" s="16"/>
      <c r="EL189" s="16"/>
      <c r="EM189" s="16"/>
      <c r="EN189" s="16"/>
      <c r="EO189" s="16"/>
      <c r="EP189" s="16"/>
      <c r="EQ189" s="16"/>
      <c r="ER189" s="5"/>
      <c r="ES189" s="16"/>
      <c r="ET189" s="5"/>
      <c r="EU189" s="5"/>
      <c r="EV189" s="5"/>
      <c r="EW189" s="5"/>
      <c r="EX189" s="5"/>
      <c r="EY189" s="5"/>
      <c r="EZ189" s="5"/>
      <c r="FA189" s="5"/>
      <c r="FB189" s="16"/>
      <c r="FC189" s="5"/>
      <c r="FD189" s="5"/>
      <c r="FE189" s="5"/>
      <c r="FF189" s="5"/>
      <c r="FG189" s="5"/>
      <c r="FH189" s="5"/>
      <c r="FI189" s="5"/>
      <c r="FJ189" s="5"/>
      <c r="FK189" s="16"/>
      <c r="FL189" s="5"/>
      <c r="FM189" s="5"/>
      <c r="FN189" s="5"/>
      <c r="FO189" s="5"/>
      <c r="FP189" s="5"/>
      <c r="FQ189" s="5"/>
      <c r="FR189" s="5"/>
      <c r="FS189" s="5"/>
      <c r="FT189" s="16"/>
      <c r="FU189" s="16"/>
      <c r="FV189" s="16"/>
      <c r="FW189" s="16"/>
      <c r="FX189" s="16"/>
      <c r="FY189" s="16"/>
      <c r="FZ189" s="16"/>
      <c r="GA189" s="5"/>
      <c r="GB189" s="16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9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16"/>
      <c r="IX189" s="5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</row>
    <row r="190" spans="1:33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99"/>
      <c r="AR190" s="99"/>
      <c r="AS190" s="5"/>
      <c r="AT190" s="5"/>
      <c r="AU190" s="5"/>
      <c r="AV190" s="5"/>
      <c r="AW190" s="5"/>
      <c r="AX190" s="99"/>
      <c r="AY190" s="99"/>
      <c r="AZ190" s="5"/>
      <c r="BA190" s="5"/>
      <c r="BB190" s="5"/>
      <c r="BC190" s="5"/>
      <c r="BD190" s="5"/>
      <c r="BE190" s="5"/>
      <c r="BF190" s="99"/>
      <c r="BG190" s="99"/>
      <c r="BH190" s="5"/>
      <c r="BI190" s="5"/>
      <c r="BJ190" s="5"/>
      <c r="BK190" s="5"/>
      <c r="BL190" s="5"/>
      <c r="BM190" s="99"/>
      <c r="BN190" s="99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5"/>
      <c r="CQ190" s="16"/>
      <c r="CR190" s="16"/>
      <c r="CS190" s="16"/>
      <c r="CT190" s="16"/>
      <c r="CU190" s="16"/>
      <c r="CV190" s="16"/>
      <c r="CW190" s="16"/>
      <c r="CX190" s="16"/>
      <c r="CY190" s="5"/>
      <c r="CZ190" s="16"/>
      <c r="DA190" s="5"/>
      <c r="DB190" s="5"/>
      <c r="DC190" s="5"/>
      <c r="DD190" s="5"/>
      <c r="DE190" s="5"/>
      <c r="DF190" s="5"/>
      <c r="DG190" s="5"/>
      <c r="DH190" s="5"/>
      <c r="DI190" s="16"/>
      <c r="DJ190" s="16"/>
      <c r="DK190" s="16"/>
      <c r="DL190" s="16"/>
      <c r="DM190" s="16"/>
      <c r="DN190" s="16"/>
      <c r="DO190" s="16"/>
      <c r="DP190" s="16"/>
      <c r="DQ190" s="16"/>
      <c r="DR190" s="5"/>
      <c r="DS190" s="16"/>
      <c r="DT190" s="16"/>
      <c r="DU190" s="16"/>
      <c r="DV190" s="16"/>
      <c r="DW190" s="16"/>
      <c r="DX190" s="16"/>
      <c r="DY190" s="16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16"/>
      <c r="EK190" s="16"/>
      <c r="EL190" s="16"/>
      <c r="EM190" s="16"/>
      <c r="EN190" s="16"/>
      <c r="EO190" s="16"/>
      <c r="EP190" s="16"/>
      <c r="EQ190" s="16"/>
      <c r="ER190" s="5"/>
      <c r="ES190" s="16"/>
      <c r="ET190" s="5"/>
      <c r="EU190" s="5"/>
      <c r="EV190" s="5"/>
      <c r="EW190" s="5"/>
      <c r="EX190" s="5"/>
      <c r="EY190" s="5"/>
      <c r="EZ190" s="5"/>
      <c r="FA190" s="5"/>
      <c r="FB190" s="16"/>
      <c r="FC190" s="5"/>
      <c r="FD190" s="5"/>
      <c r="FE190" s="5"/>
      <c r="FF190" s="5"/>
      <c r="FG190" s="5"/>
      <c r="FH190" s="5"/>
      <c r="FI190" s="5"/>
      <c r="FJ190" s="5"/>
      <c r="FK190" s="16"/>
      <c r="FL190" s="5"/>
      <c r="FM190" s="5"/>
      <c r="FN190" s="5"/>
      <c r="FO190" s="5"/>
      <c r="FP190" s="5"/>
      <c r="FQ190" s="5"/>
      <c r="FR190" s="5"/>
      <c r="FS190" s="5"/>
      <c r="FT190" s="16"/>
      <c r="FU190" s="16"/>
      <c r="FV190" s="16"/>
      <c r="FW190" s="16"/>
      <c r="FX190" s="16"/>
      <c r="FY190" s="16"/>
      <c r="FZ190" s="16"/>
      <c r="GA190" s="5"/>
      <c r="GB190" s="16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9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16"/>
      <c r="IX190" s="5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</row>
    <row r="191" spans="1:33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99"/>
      <c r="AR191" s="99"/>
      <c r="AS191" s="5"/>
      <c r="AT191" s="5"/>
      <c r="AU191" s="5"/>
      <c r="AV191" s="5"/>
      <c r="AW191" s="5"/>
      <c r="AX191" s="99"/>
      <c r="AY191" s="99"/>
      <c r="AZ191" s="5"/>
      <c r="BA191" s="5"/>
      <c r="BB191" s="5"/>
      <c r="BC191" s="5"/>
      <c r="BD191" s="5"/>
      <c r="BE191" s="5"/>
      <c r="BF191" s="99"/>
      <c r="BG191" s="99"/>
      <c r="BH191" s="5"/>
      <c r="BI191" s="5"/>
      <c r="BJ191" s="5"/>
      <c r="BK191" s="5"/>
      <c r="BL191" s="5"/>
      <c r="BM191" s="99"/>
      <c r="BN191" s="99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5"/>
      <c r="CQ191" s="16"/>
      <c r="CR191" s="16"/>
      <c r="CS191" s="16"/>
      <c r="CT191" s="16"/>
      <c r="CU191" s="16"/>
      <c r="CV191" s="16"/>
      <c r="CW191" s="16"/>
      <c r="CX191" s="16"/>
      <c r="CY191" s="5"/>
      <c r="CZ191" s="16"/>
      <c r="DA191" s="5"/>
      <c r="DB191" s="5"/>
      <c r="DC191" s="5"/>
      <c r="DD191" s="5"/>
      <c r="DE191" s="5"/>
      <c r="DF191" s="5"/>
      <c r="DG191" s="5"/>
      <c r="DH191" s="5"/>
      <c r="DI191" s="16"/>
      <c r="DJ191" s="16"/>
      <c r="DK191" s="16"/>
      <c r="DL191" s="16"/>
      <c r="DM191" s="16"/>
      <c r="DN191" s="16"/>
      <c r="DO191" s="16"/>
      <c r="DP191" s="16"/>
      <c r="DQ191" s="16"/>
      <c r="DR191" s="5"/>
      <c r="DS191" s="16"/>
      <c r="DT191" s="16"/>
      <c r="DU191" s="16"/>
      <c r="DV191" s="16"/>
      <c r="DW191" s="16"/>
      <c r="DX191" s="16"/>
      <c r="DY191" s="16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16"/>
      <c r="EK191" s="16"/>
      <c r="EL191" s="16"/>
      <c r="EM191" s="16"/>
      <c r="EN191" s="16"/>
      <c r="EO191" s="16"/>
      <c r="EP191" s="16"/>
      <c r="EQ191" s="16"/>
      <c r="ER191" s="5"/>
      <c r="ES191" s="16"/>
      <c r="ET191" s="5"/>
      <c r="EU191" s="5"/>
      <c r="EV191" s="5"/>
      <c r="EW191" s="5"/>
      <c r="EX191" s="5"/>
      <c r="EY191" s="5"/>
      <c r="EZ191" s="5"/>
      <c r="FA191" s="5"/>
      <c r="FB191" s="16"/>
      <c r="FC191" s="5"/>
      <c r="FD191" s="5"/>
      <c r="FE191" s="5"/>
      <c r="FF191" s="5"/>
      <c r="FG191" s="5"/>
      <c r="FH191" s="5"/>
      <c r="FI191" s="5"/>
      <c r="FJ191" s="5"/>
      <c r="FK191" s="16"/>
      <c r="FL191" s="5"/>
      <c r="FM191" s="5"/>
      <c r="FN191" s="5"/>
      <c r="FO191" s="5"/>
      <c r="FP191" s="5"/>
      <c r="FQ191" s="5"/>
      <c r="FR191" s="5"/>
      <c r="FS191" s="5"/>
      <c r="FT191" s="16"/>
      <c r="FU191" s="16"/>
      <c r="FV191" s="16"/>
      <c r="FW191" s="16"/>
      <c r="FX191" s="16"/>
      <c r="FY191" s="16"/>
      <c r="FZ191" s="16"/>
      <c r="GA191" s="5"/>
      <c r="GB191" s="16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9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16"/>
      <c r="IX191" s="5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</row>
    <row r="192" spans="1:33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99"/>
      <c r="AR192" s="99"/>
      <c r="AS192" s="5"/>
      <c r="AT192" s="5"/>
      <c r="AU192" s="5"/>
      <c r="AV192" s="5"/>
      <c r="AW192" s="5"/>
      <c r="AX192" s="99"/>
      <c r="AY192" s="99"/>
      <c r="AZ192" s="5"/>
      <c r="BA192" s="5"/>
      <c r="BB192" s="5"/>
      <c r="BC192" s="5"/>
      <c r="BD192" s="5"/>
      <c r="BE192" s="5"/>
      <c r="BF192" s="99"/>
      <c r="BG192" s="99"/>
      <c r="BH192" s="5"/>
      <c r="BI192" s="5"/>
      <c r="BJ192" s="5"/>
      <c r="BK192" s="5"/>
      <c r="BL192" s="5"/>
      <c r="BM192" s="99"/>
      <c r="BN192" s="99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5"/>
      <c r="CQ192" s="16"/>
      <c r="CR192" s="16"/>
      <c r="CS192" s="16"/>
      <c r="CT192" s="16"/>
      <c r="CU192" s="16"/>
      <c r="CV192" s="16"/>
      <c r="CW192" s="16"/>
      <c r="CX192" s="16"/>
      <c r="CY192" s="5"/>
      <c r="CZ192" s="16"/>
      <c r="DA192" s="5"/>
      <c r="DB192" s="5"/>
      <c r="DC192" s="5"/>
      <c r="DD192" s="5"/>
      <c r="DE192" s="5"/>
      <c r="DF192" s="5"/>
      <c r="DG192" s="5"/>
      <c r="DH192" s="5"/>
      <c r="DI192" s="16"/>
      <c r="DJ192" s="16"/>
      <c r="DK192" s="16"/>
      <c r="DL192" s="16"/>
      <c r="DM192" s="16"/>
      <c r="DN192" s="16"/>
      <c r="DO192" s="16"/>
      <c r="DP192" s="16"/>
      <c r="DQ192" s="16"/>
      <c r="DR192" s="5"/>
      <c r="DS192" s="16"/>
      <c r="DT192" s="16"/>
      <c r="DU192" s="16"/>
      <c r="DV192" s="16"/>
      <c r="DW192" s="16"/>
      <c r="DX192" s="16"/>
      <c r="DY192" s="16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16"/>
      <c r="EK192" s="16"/>
      <c r="EL192" s="16"/>
      <c r="EM192" s="16"/>
      <c r="EN192" s="16"/>
      <c r="EO192" s="16"/>
      <c r="EP192" s="16"/>
      <c r="EQ192" s="16"/>
      <c r="ER192" s="5"/>
      <c r="ES192" s="16"/>
      <c r="ET192" s="5"/>
      <c r="EU192" s="5"/>
      <c r="EV192" s="5"/>
      <c r="EW192" s="5"/>
      <c r="EX192" s="5"/>
      <c r="EY192" s="5"/>
      <c r="EZ192" s="5"/>
      <c r="FA192" s="5"/>
      <c r="FB192" s="16"/>
      <c r="FC192" s="5"/>
      <c r="FD192" s="5"/>
      <c r="FE192" s="5"/>
      <c r="FF192" s="5"/>
      <c r="FG192" s="5"/>
      <c r="FH192" s="5"/>
      <c r="FI192" s="5"/>
      <c r="FJ192" s="5"/>
      <c r="FK192" s="16"/>
      <c r="FL192" s="5"/>
      <c r="FM192" s="5"/>
      <c r="FN192" s="5"/>
      <c r="FO192" s="5"/>
      <c r="FP192" s="5"/>
      <c r="FQ192" s="5"/>
      <c r="FR192" s="5"/>
      <c r="FS192" s="5"/>
      <c r="FT192" s="16"/>
      <c r="FU192" s="16"/>
      <c r="FV192" s="16"/>
      <c r="FW192" s="16"/>
      <c r="FX192" s="16"/>
      <c r="FY192" s="16"/>
      <c r="FZ192" s="16"/>
      <c r="GA192" s="5"/>
      <c r="GB192" s="16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9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16"/>
      <c r="IX192" s="5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</row>
    <row r="193" spans="1:33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99"/>
      <c r="AR193" s="99"/>
      <c r="AS193" s="5"/>
      <c r="AT193" s="5"/>
      <c r="AU193" s="5"/>
      <c r="AV193" s="5"/>
      <c r="AW193" s="5"/>
      <c r="AX193" s="99"/>
      <c r="AY193" s="99"/>
      <c r="AZ193" s="5"/>
      <c r="BA193" s="5"/>
      <c r="BB193" s="5"/>
      <c r="BC193" s="5"/>
      <c r="BD193" s="5"/>
      <c r="BE193" s="5"/>
      <c r="BF193" s="99"/>
      <c r="BG193" s="99"/>
      <c r="BH193" s="5"/>
      <c r="BI193" s="5"/>
      <c r="BJ193" s="5"/>
      <c r="BK193" s="5"/>
      <c r="BL193" s="5"/>
      <c r="BM193" s="99"/>
      <c r="BN193" s="99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5"/>
      <c r="CQ193" s="16"/>
      <c r="CR193" s="16"/>
      <c r="CS193" s="16"/>
      <c r="CT193" s="16"/>
      <c r="CU193" s="16"/>
      <c r="CV193" s="16"/>
      <c r="CW193" s="16"/>
      <c r="CX193" s="16"/>
      <c r="CY193" s="5"/>
      <c r="CZ193" s="16"/>
      <c r="DA193" s="5"/>
      <c r="DB193" s="5"/>
      <c r="DC193" s="5"/>
      <c r="DD193" s="5"/>
      <c r="DE193" s="5"/>
      <c r="DF193" s="5"/>
      <c r="DG193" s="5"/>
      <c r="DH193" s="5"/>
      <c r="DI193" s="16"/>
      <c r="DJ193" s="16"/>
      <c r="DK193" s="16"/>
      <c r="DL193" s="16"/>
      <c r="DM193" s="16"/>
      <c r="DN193" s="16"/>
      <c r="DO193" s="16"/>
      <c r="DP193" s="16"/>
      <c r="DQ193" s="16"/>
      <c r="DR193" s="5"/>
      <c r="DS193" s="16"/>
      <c r="DT193" s="16"/>
      <c r="DU193" s="16"/>
      <c r="DV193" s="16"/>
      <c r="DW193" s="16"/>
      <c r="DX193" s="16"/>
      <c r="DY193" s="16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16"/>
      <c r="EK193" s="16"/>
      <c r="EL193" s="16"/>
      <c r="EM193" s="16"/>
      <c r="EN193" s="16"/>
      <c r="EO193" s="16"/>
      <c r="EP193" s="16"/>
      <c r="EQ193" s="16"/>
      <c r="ER193" s="5"/>
      <c r="ES193" s="16"/>
      <c r="ET193" s="5"/>
      <c r="EU193" s="5"/>
      <c r="EV193" s="5"/>
      <c r="EW193" s="5"/>
      <c r="EX193" s="5"/>
      <c r="EY193" s="5"/>
      <c r="EZ193" s="5"/>
      <c r="FA193" s="5"/>
      <c r="FB193" s="16"/>
      <c r="FC193" s="5"/>
      <c r="FD193" s="5"/>
      <c r="FE193" s="5"/>
      <c r="FF193" s="5"/>
      <c r="FG193" s="5"/>
      <c r="FH193" s="5"/>
      <c r="FI193" s="5"/>
      <c r="FJ193" s="5"/>
      <c r="FK193" s="16"/>
      <c r="FL193" s="5"/>
      <c r="FM193" s="5"/>
      <c r="FN193" s="5"/>
      <c r="FO193" s="5"/>
      <c r="FP193" s="5"/>
      <c r="FQ193" s="5"/>
      <c r="FR193" s="5"/>
      <c r="FS193" s="5"/>
      <c r="FT193" s="16"/>
      <c r="FU193" s="16"/>
      <c r="FV193" s="16"/>
      <c r="FW193" s="16"/>
      <c r="FX193" s="16"/>
      <c r="FY193" s="16"/>
      <c r="FZ193" s="16"/>
      <c r="GA193" s="5"/>
      <c r="GB193" s="16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9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16"/>
      <c r="IX193" s="5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</row>
    <row r="194" spans="1:33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99"/>
      <c r="AR194" s="99"/>
      <c r="AS194" s="5"/>
      <c r="AT194" s="5"/>
      <c r="AU194" s="5"/>
      <c r="AV194" s="5"/>
      <c r="AW194" s="5"/>
      <c r="AX194" s="99"/>
      <c r="AY194" s="99"/>
      <c r="AZ194" s="5"/>
      <c r="BA194" s="5"/>
      <c r="BB194" s="5"/>
      <c r="BC194" s="5"/>
      <c r="BD194" s="5"/>
      <c r="BE194" s="5"/>
      <c r="BF194" s="99"/>
      <c r="BG194" s="99"/>
      <c r="BH194" s="5"/>
      <c r="BI194" s="5"/>
      <c r="BJ194" s="5"/>
      <c r="BK194" s="5"/>
      <c r="BL194" s="5"/>
      <c r="BM194" s="99"/>
      <c r="BN194" s="99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5"/>
      <c r="CQ194" s="16"/>
      <c r="CR194" s="16"/>
      <c r="CS194" s="16"/>
      <c r="CT194" s="16"/>
      <c r="CU194" s="16"/>
      <c r="CV194" s="16"/>
      <c r="CW194" s="16"/>
      <c r="CX194" s="16"/>
      <c r="CY194" s="5"/>
      <c r="CZ194" s="16"/>
      <c r="DA194" s="5"/>
      <c r="DB194" s="5"/>
      <c r="DC194" s="5"/>
      <c r="DD194" s="5"/>
      <c r="DE194" s="5"/>
      <c r="DF194" s="5"/>
      <c r="DG194" s="5"/>
      <c r="DH194" s="5"/>
      <c r="DI194" s="16"/>
      <c r="DJ194" s="16"/>
      <c r="DK194" s="16"/>
      <c r="DL194" s="16"/>
      <c r="DM194" s="16"/>
      <c r="DN194" s="16"/>
      <c r="DO194" s="16"/>
      <c r="DP194" s="16"/>
      <c r="DQ194" s="16"/>
      <c r="DR194" s="5"/>
      <c r="DS194" s="16"/>
      <c r="DT194" s="16"/>
      <c r="DU194" s="16"/>
      <c r="DV194" s="16"/>
      <c r="DW194" s="16"/>
      <c r="DX194" s="16"/>
      <c r="DY194" s="16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16"/>
      <c r="EK194" s="16"/>
      <c r="EL194" s="16"/>
      <c r="EM194" s="16"/>
      <c r="EN194" s="16"/>
      <c r="EO194" s="16"/>
      <c r="EP194" s="16"/>
      <c r="EQ194" s="16"/>
      <c r="ER194" s="5"/>
      <c r="ES194" s="16"/>
      <c r="ET194" s="5"/>
      <c r="EU194" s="5"/>
      <c r="EV194" s="5"/>
      <c r="EW194" s="5"/>
      <c r="EX194" s="5"/>
      <c r="EY194" s="5"/>
      <c r="EZ194" s="5"/>
      <c r="FA194" s="5"/>
      <c r="FB194" s="16"/>
      <c r="FC194" s="5"/>
      <c r="FD194" s="5"/>
      <c r="FE194" s="5"/>
      <c r="FF194" s="5"/>
      <c r="FG194" s="5"/>
      <c r="FH194" s="5"/>
      <c r="FI194" s="5"/>
      <c r="FJ194" s="5"/>
      <c r="FK194" s="16"/>
      <c r="FL194" s="5"/>
      <c r="FM194" s="5"/>
      <c r="FN194" s="5"/>
      <c r="FO194" s="5"/>
      <c r="FP194" s="5"/>
      <c r="FQ194" s="5"/>
      <c r="FR194" s="5"/>
      <c r="FS194" s="5"/>
      <c r="FT194" s="16"/>
      <c r="FU194" s="16"/>
      <c r="FV194" s="16"/>
      <c r="FW194" s="16"/>
      <c r="FX194" s="16"/>
      <c r="FY194" s="16"/>
      <c r="FZ194" s="16"/>
      <c r="GA194" s="5"/>
      <c r="GB194" s="16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9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16"/>
      <c r="IX194" s="5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</row>
    <row r="195" spans="1:33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99"/>
      <c r="AR195" s="99"/>
      <c r="AS195" s="5"/>
      <c r="AT195" s="5"/>
      <c r="AU195" s="5"/>
      <c r="AV195" s="5"/>
      <c r="AW195" s="5"/>
      <c r="AX195" s="99"/>
      <c r="AY195" s="99"/>
      <c r="AZ195" s="5"/>
      <c r="BA195" s="5"/>
      <c r="BB195" s="5"/>
      <c r="BC195" s="5"/>
      <c r="BD195" s="5"/>
      <c r="BE195" s="5"/>
      <c r="BF195" s="99"/>
      <c r="BG195" s="99"/>
      <c r="BH195" s="5"/>
      <c r="BI195" s="5"/>
      <c r="BJ195" s="5"/>
      <c r="BK195" s="5"/>
      <c r="BL195" s="5"/>
      <c r="BM195" s="99"/>
      <c r="BN195" s="99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5"/>
      <c r="CQ195" s="16"/>
      <c r="CR195" s="16"/>
      <c r="CS195" s="16"/>
      <c r="CT195" s="16"/>
      <c r="CU195" s="16"/>
      <c r="CV195" s="16"/>
      <c r="CW195" s="16"/>
      <c r="CX195" s="16"/>
      <c r="CY195" s="5"/>
      <c r="CZ195" s="16"/>
      <c r="DA195" s="5"/>
      <c r="DB195" s="5"/>
      <c r="DC195" s="5"/>
      <c r="DD195" s="5"/>
      <c r="DE195" s="5"/>
      <c r="DF195" s="5"/>
      <c r="DG195" s="5"/>
      <c r="DH195" s="5"/>
      <c r="DI195" s="16"/>
      <c r="DJ195" s="16"/>
      <c r="DK195" s="16"/>
      <c r="DL195" s="16"/>
      <c r="DM195" s="16"/>
      <c r="DN195" s="16"/>
      <c r="DO195" s="16"/>
      <c r="DP195" s="16"/>
      <c r="DQ195" s="16"/>
      <c r="DR195" s="5"/>
      <c r="DS195" s="16"/>
      <c r="DT195" s="16"/>
      <c r="DU195" s="16"/>
      <c r="DV195" s="16"/>
      <c r="DW195" s="16"/>
      <c r="DX195" s="16"/>
      <c r="DY195" s="16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16"/>
      <c r="EK195" s="16"/>
      <c r="EL195" s="16"/>
      <c r="EM195" s="16"/>
      <c r="EN195" s="16"/>
      <c r="EO195" s="16"/>
      <c r="EP195" s="16"/>
      <c r="EQ195" s="16"/>
      <c r="ER195" s="5"/>
      <c r="ES195" s="16"/>
      <c r="ET195" s="5"/>
      <c r="EU195" s="5"/>
      <c r="EV195" s="5"/>
      <c r="EW195" s="5"/>
      <c r="EX195" s="5"/>
      <c r="EY195" s="5"/>
      <c r="EZ195" s="5"/>
      <c r="FA195" s="5"/>
      <c r="FB195" s="16"/>
      <c r="FC195" s="5"/>
      <c r="FD195" s="5"/>
      <c r="FE195" s="5"/>
      <c r="FF195" s="5"/>
      <c r="FG195" s="5"/>
      <c r="FH195" s="5"/>
      <c r="FI195" s="5"/>
      <c r="FJ195" s="5"/>
      <c r="FK195" s="16"/>
      <c r="FL195" s="5"/>
      <c r="FM195" s="5"/>
      <c r="FN195" s="5"/>
      <c r="FO195" s="5"/>
      <c r="FP195" s="5"/>
      <c r="FQ195" s="5"/>
      <c r="FR195" s="5"/>
      <c r="FS195" s="5"/>
      <c r="FT195" s="16"/>
      <c r="FU195" s="16"/>
      <c r="FV195" s="16"/>
      <c r="FW195" s="16"/>
      <c r="FX195" s="16"/>
      <c r="FY195" s="16"/>
      <c r="FZ195" s="16"/>
      <c r="GA195" s="5"/>
      <c r="GB195" s="16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9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16"/>
      <c r="IX195" s="5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</row>
    <row r="196" spans="1:33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99"/>
      <c r="AR196" s="99"/>
      <c r="AS196" s="5"/>
      <c r="AT196" s="5"/>
      <c r="AU196" s="5"/>
      <c r="AV196" s="5"/>
      <c r="AW196" s="5"/>
      <c r="AX196" s="99"/>
      <c r="AY196" s="99"/>
      <c r="AZ196" s="5"/>
      <c r="BA196" s="5"/>
      <c r="BB196" s="5"/>
      <c r="BC196" s="5"/>
      <c r="BD196" s="5"/>
      <c r="BE196" s="5"/>
      <c r="BF196" s="99"/>
      <c r="BG196" s="99"/>
      <c r="BH196" s="5"/>
      <c r="BI196" s="5"/>
      <c r="BJ196" s="5"/>
      <c r="BK196" s="5"/>
      <c r="BL196" s="5"/>
      <c r="BM196" s="99"/>
      <c r="BN196" s="99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5"/>
      <c r="CQ196" s="16"/>
      <c r="CR196" s="16"/>
      <c r="CS196" s="16"/>
      <c r="CT196" s="16"/>
      <c r="CU196" s="16"/>
      <c r="CV196" s="16"/>
      <c r="CW196" s="16"/>
      <c r="CX196" s="16"/>
      <c r="CY196" s="5"/>
      <c r="CZ196" s="16"/>
      <c r="DA196" s="5"/>
      <c r="DB196" s="5"/>
      <c r="DC196" s="5"/>
      <c r="DD196" s="5"/>
      <c r="DE196" s="5"/>
      <c r="DF196" s="5"/>
      <c r="DG196" s="5"/>
      <c r="DH196" s="5"/>
      <c r="DI196" s="16"/>
      <c r="DJ196" s="16"/>
      <c r="DK196" s="16"/>
      <c r="DL196" s="16"/>
      <c r="DM196" s="16"/>
      <c r="DN196" s="16"/>
      <c r="DO196" s="16"/>
      <c r="DP196" s="16"/>
      <c r="DQ196" s="16"/>
      <c r="DR196" s="5"/>
      <c r="DS196" s="16"/>
      <c r="DT196" s="16"/>
      <c r="DU196" s="16"/>
      <c r="DV196" s="16"/>
      <c r="DW196" s="16"/>
      <c r="DX196" s="16"/>
      <c r="DY196" s="16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16"/>
      <c r="EK196" s="16"/>
      <c r="EL196" s="16"/>
      <c r="EM196" s="16"/>
      <c r="EN196" s="16"/>
      <c r="EO196" s="16"/>
      <c r="EP196" s="16"/>
      <c r="EQ196" s="16"/>
      <c r="ER196" s="5"/>
      <c r="ES196" s="16"/>
      <c r="ET196" s="5"/>
      <c r="EU196" s="5"/>
      <c r="EV196" s="5"/>
      <c r="EW196" s="5"/>
      <c r="EX196" s="5"/>
      <c r="EY196" s="5"/>
      <c r="EZ196" s="5"/>
      <c r="FA196" s="5"/>
      <c r="FB196" s="16"/>
      <c r="FC196" s="5"/>
      <c r="FD196" s="5"/>
      <c r="FE196" s="5"/>
      <c r="FF196" s="5"/>
      <c r="FG196" s="5"/>
      <c r="FH196" s="5"/>
      <c r="FI196" s="5"/>
      <c r="FJ196" s="5"/>
      <c r="FK196" s="16"/>
      <c r="FL196" s="5"/>
      <c r="FM196" s="5"/>
      <c r="FN196" s="5"/>
      <c r="FO196" s="5"/>
      <c r="FP196" s="5"/>
      <c r="FQ196" s="5"/>
      <c r="FR196" s="5"/>
      <c r="FS196" s="5"/>
      <c r="FT196" s="16"/>
      <c r="FU196" s="16"/>
      <c r="FV196" s="16"/>
      <c r="FW196" s="16"/>
      <c r="FX196" s="16"/>
      <c r="FY196" s="16"/>
      <c r="FZ196" s="16"/>
      <c r="GA196" s="5"/>
      <c r="GB196" s="16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9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16"/>
      <c r="IX196" s="5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</row>
    <row r="197" spans="1:33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99"/>
      <c r="AR197" s="99"/>
      <c r="AS197" s="5"/>
      <c r="AT197" s="5"/>
      <c r="AU197" s="5"/>
      <c r="AV197" s="5"/>
      <c r="AW197" s="5"/>
      <c r="AX197" s="99"/>
      <c r="AY197" s="99"/>
      <c r="AZ197" s="5"/>
      <c r="BA197" s="5"/>
      <c r="BB197" s="5"/>
      <c r="BC197" s="5"/>
      <c r="BD197" s="5"/>
      <c r="BE197" s="5"/>
      <c r="BF197" s="99"/>
      <c r="BG197" s="99"/>
      <c r="BH197" s="5"/>
      <c r="BI197" s="5"/>
      <c r="BJ197" s="5"/>
      <c r="BK197" s="5"/>
      <c r="BL197" s="5"/>
      <c r="BM197" s="99"/>
      <c r="BN197" s="99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5"/>
      <c r="CQ197" s="16"/>
      <c r="CR197" s="16"/>
      <c r="CS197" s="16"/>
      <c r="CT197" s="16"/>
      <c r="CU197" s="16"/>
      <c r="CV197" s="16"/>
      <c r="CW197" s="16"/>
      <c r="CX197" s="16"/>
      <c r="CY197" s="5"/>
      <c r="CZ197" s="16"/>
      <c r="DA197" s="5"/>
      <c r="DB197" s="5"/>
      <c r="DC197" s="5"/>
      <c r="DD197" s="5"/>
      <c r="DE197" s="5"/>
      <c r="DF197" s="5"/>
      <c r="DG197" s="5"/>
      <c r="DH197" s="5"/>
      <c r="DI197" s="16"/>
      <c r="DJ197" s="16"/>
      <c r="DK197" s="16"/>
      <c r="DL197" s="16"/>
      <c r="DM197" s="16"/>
      <c r="DN197" s="16"/>
      <c r="DO197" s="16"/>
      <c r="DP197" s="16"/>
      <c r="DQ197" s="16"/>
      <c r="DR197" s="5"/>
      <c r="DS197" s="16"/>
      <c r="DT197" s="16"/>
      <c r="DU197" s="16"/>
      <c r="DV197" s="16"/>
      <c r="DW197" s="16"/>
      <c r="DX197" s="16"/>
      <c r="DY197" s="16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16"/>
      <c r="EK197" s="16"/>
      <c r="EL197" s="16"/>
      <c r="EM197" s="16"/>
      <c r="EN197" s="16"/>
      <c r="EO197" s="16"/>
      <c r="EP197" s="16"/>
      <c r="EQ197" s="16"/>
      <c r="ER197" s="5"/>
      <c r="ES197" s="16"/>
      <c r="ET197" s="5"/>
      <c r="EU197" s="5"/>
      <c r="EV197" s="5"/>
      <c r="EW197" s="5"/>
      <c r="EX197" s="5"/>
      <c r="EY197" s="5"/>
      <c r="EZ197" s="5"/>
      <c r="FA197" s="5"/>
      <c r="FB197" s="16"/>
      <c r="FC197" s="5"/>
      <c r="FD197" s="5"/>
      <c r="FE197" s="5"/>
      <c r="FF197" s="5"/>
      <c r="FG197" s="5"/>
      <c r="FH197" s="5"/>
      <c r="FI197" s="5"/>
      <c r="FJ197" s="5"/>
      <c r="FK197" s="16"/>
      <c r="FL197" s="5"/>
      <c r="FM197" s="5"/>
      <c r="FN197" s="5"/>
      <c r="FO197" s="5"/>
      <c r="FP197" s="5"/>
      <c r="FQ197" s="5"/>
      <c r="FR197" s="5"/>
      <c r="FS197" s="5"/>
      <c r="FT197" s="16"/>
      <c r="FU197" s="16"/>
      <c r="FV197" s="16"/>
      <c r="FW197" s="16"/>
      <c r="FX197" s="16"/>
      <c r="FY197" s="16"/>
      <c r="FZ197" s="16"/>
      <c r="GA197" s="5"/>
      <c r="GB197" s="16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9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16"/>
      <c r="IX197" s="5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</row>
    <row r="198" spans="1:33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99"/>
      <c r="AR198" s="99"/>
      <c r="AS198" s="5"/>
      <c r="AT198" s="5"/>
      <c r="AU198" s="5"/>
      <c r="AV198" s="5"/>
      <c r="AW198" s="5"/>
      <c r="AX198" s="99"/>
      <c r="AY198" s="99"/>
      <c r="AZ198" s="5"/>
      <c r="BA198" s="5"/>
      <c r="BB198" s="5"/>
      <c r="BC198" s="5"/>
      <c r="BD198" s="5"/>
      <c r="BE198" s="5"/>
      <c r="BF198" s="99"/>
      <c r="BG198" s="99"/>
      <c r="BH198" s="5"/>
      <c r="BI198" s="5"/>
      <c r="BJ198" s="5"/>
      <c r="BK198" s="5"/>
      <c r="BL198" s="5"/>
      <c r="BM198" s="99"/>
      <c r="BN198" s="99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5"/>
      <c r="CQ198" s="16"/>
      <c r="CR198" s="16"/>
      <c r="CS198" s="16"/>
      <c r="CT198" s="16"/>
      <c r="CU198" s="16"/>
      <c r="CV198" s="16"/>
      <c r="CW198" s="16"/>
      <c r="CX198" s="16"/>
      <c r="CY198" s="5"/>
      <c r="CZ198" s="16"/>
      <c r="DA198" s="5"/>
      <c r="DB198" s="5"/>
      <c r="DC198" s="5"/>
      <c r="DD198" s="5"/>
      <c r="DE198" s="5"/>
      <c r="DF198" s="5"/>
      <c r="DG198" s="5"/>
      <c r="DH198" s="5"/>
      <c r="DI198" s="16"/>
      <c r="DJ198" s="16"/>
      <c r="DK198" s="16"/>
      <c r="DL198" s="16"/>
      <c r="DM198" s="16"/>
      <c r="DN198" s="16"/>
      <c r="DO198" s="16"/>
      <c r="DP198" s="16"/>
      <c r="DQ198" s="16"/>
      <c r="DR198" s="5"/>
      <c r="DS198" s="16"/>
      <c r="DT198" s="16"/>
      <c r="DU198" s="16"/>
      <c r="DV198" s="16"/>
      <c r="DW198" s="16"/>
      <c r="DX198" s="16"/>
      <c r="DY198" s="16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16"/>
      <c r="EK198" s="16"/>
      <c r="EL198" s="16"/>
      <c r="EM198" s="16"/>
      <c r="EN198" s="16"/>
      <c r="EO198" s="16"/>
      <c r="EP198" s="16"/>
      <c r="EQ198" s="16"/>
      <c r="ER198" s="5"/>
      <c r="ES198" s="16"/>
      <c r="ET198" s="5"/>
      <c r="EU198" s="5"/>
      <c r="EV198" s="5"/>
      <c r="EW198" s="5"/>
      <c r="EX198" s="5"/>
      <c r="EY198" s="5"/>
      <c r="EZ198" s="5"/>
      <c r="FA198" s="5"/>
      <c r="FB198" s="16"/>
      <c r="FC198" s="5"/>
      <c r="FD198" s="5"/>
      <c r="FE198" s="5"/>
      <c r="FF198" s="5"/>
      <c r="FG198" s="5"/>
      <c r="FH198" s="5"/>
      <c r="FI198" s="5"/>
      <c r="FJ198" s="5"/>
      <c r="FK198" s="16"/>
      <c r="FL198" s="5"/>
      <c r="FM198" s="5"/>
      <c r="FN198" s="5"/>
      <c r="FO198" s="5"/>
      <c r="FP198" s="5"/>
      <c r="FQ198" s="5"/>
      <c r="FR198" s="5"/>
      <c r="FS198" s="5"/>
      <c r="FT198" s="16"/>
      <c r="FU198" s="16"/>
      <c r="FV198" s="16"/>
      <c r="FW198" s="16"/>
      <c r="FX198" s="16"/>
      <c r="FY198" s="16"/>
      <c r="FZ198" s="16"/>
      <c r="GA198" s="5"/>
      <c r="GB198" s="16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9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16"/>
      <c r="IX198" s="5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</row>
    <row r="199" spans="1:33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99"/>
      <c r="AR199" s="99"/>
      <c r="AS199" s="5"/>
      <c r="AT199" s="5"/>
      <c r="AU199" s="5"/>
      <c r="AV199" s="5"/>
      <c r="AW199" s="5"/>
      <c r="AX199" s="99"/>
      <c r="AY199" s="99"/>
      <c r="AZ199" s="5"/>
      <c r="BA199" s="5"/>
      <c r="BB199" s="5"/>
      <c r="BC199" s="5"/>
      <c r="BD199" s="5"/>
      <c r="BE199" s="5"/>
      <c r="BF199" s="99"/>
      <c r="BG199" s="99"/>
      <c r="BH199" s="5"/>
      <c r="BI199" s="5"/>
      <c r="BJ199" s="5"/>
      <c r="BK199" s="5"/>
      <c r="BL199" s="5"/>
      <c r="BM199" s="99"/>
      <c r="BN199" s="99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5"/>
      <c r="CQ199" s="16"/>
      <c r="CR199" s="16"/>
      <c r="CS199" s="16"/>
      <c r="CT199" s="16"/>
      <c r="CU199" s="16"/>
      <c r="CV199" s="16"/>
      <c r="CW199" s="16"/>
      <c r="CX199" s="16"/>
      <c r="CY199" s="5"/>
      <c r="CZ199" s="16"/>
      <c r="DA199" s="5"/>
      <c r="DB199" s="5"/>
      <c r="DC199" s="5"/>
      <c r="DD199" s="5"/>
      <c r="DE199" s="5"/>
      <c r="DF199" s="5"/>
      <c r="DG199" s="5"/>
      <c r="DH199" s="5"/>
      <c r="DI199" s="16"/>
      <c r="DJ199" s="16"/>
      <c r="DK199" s="16"/>
      <c r="DL199" s="16"/>
      <c r="DM199" s="16"/>
      <c r="DN199" s="16"/>
      <c r="DO199" s="16"/>
      <c r="DP199" s="16"/>
      <c r="DQ199" s="16"/>
      <c r="DR199" s="5"/>
      <c r="DS199" s="16"/>
      <c r="DT199" s="16"/>
      <c r="DU199" s="16"/>
      <c r="DV199" s="16"/>
      <c r="DW199" s="16"/>
      <c r="DX199" s="16"/>
      <c r="DY199" s="16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16"/>
      <c r="EK199" s="16"/>
      <c r="EL199" s="16"/>
      <c r="EM199" s="16"/>
      <c r="EN199" s="16"/>
      <c r="EO199" s="16"/>
      <c r="EP199" s="16"/>
      <c r="EQ199" s="16"/>
      <c r="ER199" s="5"/>
      <c r="ES199" s="16"/>
      <c r="ET199" s="5"/>
      <c r="EU199" s="5"/>
      <c r="EV199" s="5"/>
      <c r="EW199" s="5"/>
      <c r="EX199" s="5"/>
      <c r="EY199" s="5"/>
      <c r="EZ199" s="5"/>
      <c r="FA199" s="5"/>
      <c r="FB199" s="16"/>
      <c r="FC199" s="5"/>
      <c r="FD199" s="5"/>
      <c r="FE199" s="5"/>
      <c r="FF199" s="5"/>
      <c r="FG199" s="5"/>
      <c r="FH199" s="5"/>
      <c r="FI199" s="5"/>
      <c r="FJ199" s="5"/>
      <c r="FK199" s="16"/>
      <c r="FL199" s="5"/>
      <c r="FM199" s="5"/>
      <c r="FN199" s="5"/>
      <c r="FO199" s="5"/>
      <c r="FP199" s="5"/>
      <c r="FQ199" s="5"/>
      <c r="FR199" s="5"/>
      <c r="FS199" s="5"/>
      <c r="FT199" s="16"/>
      <c r="FU199" s="16"/>
      <c r="FV199" s="16"/>
      <c r="FW199" s="16"/>
      <c r="FX199" s="16"/>
      <c r="FY199" s="16"/>
      <c r="FZ199" s="16"/>
      <c r="GA199" s="5"/>
      <c r="GB199" s="16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9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16"/>
      <c r="IX199" s="5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</row>
    <row r="200" spans="1:33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99"/>
      <c r="AR200" s="99"/>
      <c r="AS200" s="5"/>
      <c r="AT200" s="5"/>
      <c r="AU200" s="5"/>
      <c r="AV200" s="5"/>
      <c r="AW200" s="5"/>
      <c r="AX200" s="99"/>
      <c r="AY200" s="99"/>
      <c r="AZ200" s="5"/>
      <c r="BA200" s="5"/>
      <c r="BB200" s="5"/>
      <c r="BC200" s="5"/>
      <c r="BD200" s="5"/>
      <c r="BE200" s="5"/>
      <c r="BF200" s="99"/>
      <c r="BG200" s="99"/>
      <c r="BH200" s="5"/>
      <c r="BI200" s="5"/>
      <c r="BJ200" s="5"/>
      <c r="BK200" s="5"/>
      <c r="BL200" s="5"/>
      <c r="BM200" s="99"/>
      <c r="BN200" s="99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5"/>
      <c r="CQ200" s="16"/>
      <c r="CR200" s="16"/>
      <c r="CS200" s="16"/>
      <c r="CT200" s="16"/>
      <c r="CU200" s="16"/>
      <c r="CV200" s="16"/>
      <c r="CW200" s="16"/>
      <c r="CX200" s="16"/>
      <c r="CY200" s="5"/>
      <c r="CZ200" s="16"/>
      <c r="DA200" s="5"/>
      <c r="DB200" s="5"/>
      <c r="DC200" s="5"/>
      <c r="DD200" s="5"/>
      <c r="DE200" s="5"/>
      <c r="DF200" s="5"/>
      <c r="DG200" s="5"/>
      <c r="DH200" s="5"/>
      <c r="DI200" s="16"/>
      <c r="DJ200" s="16"/>
      <c r="DK200" s="16"/>
      <c r="DL200" s="16"/>
      <c r="DM200" s="16"/>
      <c r="DN200" s="16"/>
      <c r="DO200" s="16"/>
      <c r="DP200" s="16"/>
      <c r="DQ200" s="16"/>
      <c r="DR200" s="5"/>
      <c r="DS200" s="16"/>
      <c r="DT200" s="16"/>
      <c r="DU200" s="16"/>
      <c r="DV200" s="16"/>
      <c r="DW200" s="16"/>
      <c r="DX200" s="16"/>
      <c r="DY200" s="16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16"/>
      <c r="EK200" s="16"/>
      <c r="EL200" s="16"/>
      <c r="EM200" s="16"/>
      <c r="EN200" s="16"/>
      <c r="EO200" s="16"/>
      <c r="EP200" s="16"/>
      <c r="EQ200" s="16"/>
      <c r="ER200" s="5"/>
      <c r="ES200" s="16"/>
      <c r="ET200" s="5"/>
      <c r="EU200" s="5"/>
      <c r="EV200" s="5"/>
      <c r="EW200" s="5"/>
      <c r="EX200" s="5"/>
      <c r="EY200" s="5"/>
      <c r="EZ200" s="5"/>
      <c r="FA200" s="5"/>
      <c r="FB200" s="16"/>
      <c r="FC200" s="5"/>
      <c r="FD200" s="5"/>
      <c r="FE200" s="5"/>
      <c r="FF200" s="5"/>
      <c r="FG200" s="5"/>
      <c r="FH200" s="5"/>
      <c r="FI200" s="5"/>
      <c r="FJ200" s="5"/>
      <c r="FK200" s="16"/>
      <c r="FL200" s="5"/>
      <c r="FM200" s="5"/>
      <c r="FN200" s="5"/>
      <c r="FO200" s="5"/>
      <c r="FP200" s="5"/>
      <c r="FQ200" s="5"/>
      <c r="FR200" s="5"/>
      <c r="FS200" s="5"/>
      <c r="FT200" s="16"/>
      <c r="FU200" s="16"/>
      <c r="FV200" s="16"/>
      <c r="FW200" s="16"/>
      <c r="FX200" s="16"/>
      <c r="FY200" s="16"/>
      <c r="FZ200" s="16"/>
      <c r="GA200" s="5"/>
      <c r="GB200" s="16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9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16"/>
      <c r="IX200" s="5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</row>
    <row r="201" spans="1:33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99"/>
      <c r="AR201" s="99"/>
      <c r="AS201" s="5"/>
      <c r="AT201" s="5"/>
      <c r="AU201" s="5"/>
      <c r="AV201" s="5"/>
      <c r="AW201" s="5"/>
      <c r="AX201" s="99"/>
      <c r="AY201" s="99"/>
      <c r="AZ201" s="5"/>
      <c r="BA201" s="5"/>
      <c r="BB201" s="5"/>
      <c r="BC201" s="5"/>
      <c r="BD201" s="5"/>
      <c r="BE201" s="5"/>
      <c r="BF201" s="99"/>
      <c r="BG201" s="99"/>
      <c r="BH201" s="5"/>
      <c r="BI201" s="5"/>
      <c r="BJ201" s="5"/>
      <c r="BK201" s="5"/>
      <c r="BL201" s="5"/>
      <c r="BM201" s="99"/>
      <c r="BN201" s="99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5"/>
      <c r="CQ201" s="16"/>
      <c r="CR201" s="16"/>
      <c r="CS201" s="16"/>
      <c r="CT201" s="16"/>
      <c r="CU201" s="16"/>
      <c r="CV201" s="16"/>
      <c r="CW201" s="16"/>
      <c r="CX201" s="16"/>
      <c r="CY201" s="5"/>
      <c r="CZ201" s="16"/>
      <c r="DA201" s="5"/>
      <c r="DB201" s="5"/>
      <c r="DC201" s="5"/>
      <c r="DD201" s="5"/>
      <c r="DE201" s="5"/>
      <c r="DF201" s="5"/>
      <c r="DG201" s="5"/>
      <c r="DH201" s="5"/>
      <c r="DI201" s="16"/>
      <c r="DJ201" s="16"/>
      <c r="DK201" s="16"/>
      <c r="DL201" s="16"/>
      <c r="DM201" s="16"/>
      <c r="DN201" s="16"/>
      <c r="DO201" s="16"/>
      <c r="DP201" s="16"/>
      <c r="DQ201" s="16"/>
      <c r="DR201" s="5"/>
      <c r="DS201" s="16"/>
      <c r="DT201" s="16"/>
      <c r="DU201" s="16"/>
      <c r="DV201" s="16"/>
      <c r="DW201" s="16"/>
      <c r="DX201" s="16"/>
      <c r="DY201" s="16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16"/>
      <c r="EK201" s="16"/>
      <c r="EL201" s="16"/>
      <c r="EM201" s="16"/>
      <c r="EN201" s="16"/>
      <c r="EO201" s="16"/>
      <c r="EP201" s="16"/>
      <c r="EQ201" s="16"/>
      <c r="ER201" s="5"/>
      <c r="ES201" s="16"/>
      <c r="ET201" s="5"/>
      <c r="EU201" s="5"/>
      <c r="EV201" s="5"/>
      <c r="EW201" s="5"/>
      <c r="EX201" s="5"/>
      <c r="EY201" s="5"/>
      <c r="EZ201" s="5"/>
      <c r="FA201" s="5"/>
      <c r="FB201" s="16"/>
      <c r="FC201" s="5"/>
      <c r="FD201" s="5"/>
      <c r="FE201" s="5"/>
      <c r="FF201" s="5"/>
      <c r="FG201" s="5"/>
      <c r="FH201" s="5"/>
      <c r="FI201" s="5"/>
      <c r="FJ201" s="5"/>
      <c r="FK201" s="16"/>
      <c r="FL201" s="5"/>
      <c r="FM201" s="5"/>
      <c r="FN201" s="5"/>
      <c r="FO201" s="5"/>
      <c r="FP201" s="5"/>
      <c r="FQ201" s="5"/>
      <c r="FR201" s="5"/>
      <c r="FS201" s="5"/>
      <c r="FT201" s="16"/>
      <c r="FU201" s="16"/>
      <c r="FV201" s="16"/>
      <c r="FW201" s="16"/>
      <c r="FX201" s="16"/>
      <c r="FY201" s="16"/>
      <c r="FZ201" s="16"/>
      <c r="GA201" s="5"/>
      <c r="GB201" s="16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9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16"/>
      <c r="IX201" s="5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</row>
    <row r="202" spans="1:33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99"/>
      <c r="AR202" s="99"/>
      <c r="AS202" s="5"/>
      <c r="AT202" s="5"/>
      <c r="AU202" s="5"/>
      <c r="AV202" s="5"/>
      <c r="AW202" s="5"/>
      <c r="AX202" s="99"/>
      <c r="AY202" s="99"/>
      <c r="AZ202" s="5"/>
      <c r="BA202" s="5"/>
      <c r="BB202" s="5"/>
      <c r="BC202" s="5"/>
      <c r="BD202" s="5"/>
      <c r="BE202" s="5"/>
      <c r="BF202" s="99"/>
      <c r="BG202" s="99"/>
      <c r="BH202" s="5"/>
      <c r="BI202" s="5"/>
      <c r="BJ202" s="5"/>
      <c r="BK202" s="5"/>
      <c r="BL202" s="5"/>
      <c r="BM202" s="99"/>
      <c r="BN202" s="99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5"/>
      <c r="CQ202" s="16"/>
      <c r="CR202" s="16"/>
      <c r="CS202" s="16"/>
      <c r="CT202" s="16"/>
      <c r="CU202" s="16"/>
      <c r="CV202" s="16"/>
      <c r="CW202" s="16"/>
      <c r="CX202" s="16"/>
      <c r="CY202" s="5"/>
      <c r="CZ202" s="16"/>
      <c r="DA202" s="5"/>
      <c r="DB202" s="5"/>
      <c r="DC202" s="5"/>
      <c r="DD202" s="5"/>
      <c r="DE202" s="5"/>
      <c r="DF202" s="5"/>
      <c r="DG202" s="5"/>
      <c r="DH202" s="5"/>
      <c r="DI202" s="16"/>
      <c r="DJ202" s="16"/>
      <c r="DK202" s="16"/>
      <c r="DL202" s="16"/>
      <c r="DM202" s="16"/>
      <c r="DN202" s="16"/>
      <c r="DO202" s="16"/>
      <c r="DP202" s="16"/>
      <c r="DQ202" s="16"/>
      <c r="DR202" s="5"/>
      <c r="DS202" s="16"/>
      <c r="DT202" s="16"/>
      <c r="DU202" s="16"/>
      <c r="DV202" s="16"/>
      <c r="DW202" s="16"/>
      <c r="DX202" s="16"/>
      <c r="DY202" s="16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16"/>
      <c r="EK202" s="16"/>
      <c r="EL202" s="16"/>
      <c r="EM202" s="16"/>
      <c r="EN202" s="16"/>
      <c r="EO202" s="16"/>
      <c r="EP202" s="16"/>
      <c r="EQ202" s="16"/>
      <c r="ER202" s="5"/>
      <c r="ES202" s="16"/>
      <c r="ET202" s="5"/>
      <c r="EU202" s="5"/>
      <c r="EV202" s="5"/>
      <c r="EW202" s="5"/>
      <c r="EX202" s="5"/>
      <c r="EY202" s="5"/>
      <c r="EZ202" s="5"/>
      <c r="FA202" s="5"/>
      <c r="FB202" s="16"/>
      <c r="FC202" s="5"/>
      <c r="FD202" s="5"/>
      <c r="FE202" s="5"/>
      <c r="FF202" s="5"/>
      <c r="FG202" s="5"/>
      <c r="FH202" s="5"/>
      <c r="FI202" s="5"/>
      <c r="FJ202" s="5"/>
      <c r="FK202" s="16"/>
      <c r="FL202" s="5"/>
      <c r="FM202" s="5"/>
      <c r="FN202" s="5"/>
      <c r="FO202" s="5"/>
      <c r="FP202" s="5"/>
      <c r="FQ202" s="5"/>
      <c r="FR202" s="5"/>
      <c r="FS202" s="5"/>
      <c r="FT202" s="16"/>
      <c r="FU202" s="16"/>
      <c r="FV202" s="16"/>
      <c r="FW202" s="16"/>
      <c r="FX202" s="16"/>
      <c r="FY202" s="16"/>
      <c r="FZ202" s="16"/>
      <c r="GA202" s="5"/>
      <c r="GB202" s="16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9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16"/>
      <c r="IX202" s="5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</row>
    <row r="203" spans="1:33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99"/>
      <c r="AR203" s="99"/>
      <c r="AS203" s="5"/>
      <c r="AT203" s="5"/>
      <c r="AU203" s="5"/>
      <c r="AV203" s="5"/>
      <c r="AW203" s="5"/>
      <c r="AX203" s="99"/>
      <c r="AY203" s="99"/>
      <c r="AZ203" s="5"/>
      <c r="BA203" s="5"/>
      <c r="BB203" s="5"/>
      <c r="BC203" s="5"/>
      <c r="BD203" s="5"/>
      <c r="BE203" s="5"/>
      <c r="BF203" s="99"/>
      <c r="BG203" s="99"/>
      <c r="BH203" s="5"/>
      <c r="BI203" s="5"/>
      <c r="BJ203" s="5"/>
      <c r="BK203" s="5"/>
      <c r="BL203" s="5"/>
      <c r="BM203" s="99"/>
      <c r="BN203" s="99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5"/>
      <c r="CQ203" s="16"/>
      <c r="CR203" s="16"/>
      <c r="CS203" s="16"/>
      <c r="CT203" s="16"/>
      <c r="CU203" s="16"/>
      <c r="CV203" s="16"/>
      <c r="CW203" s="16"/>
      <c r="CX203" s="16"/>
      <c r="CY203" s="5"/>
      <c r="CZ203" s="16"/>
      <c r="DA203" s="5"/>
      <c r="DB203" s="5"/>
      <c r="DC203" s="5"/>
      <c r="DD203" s="5"/>
      <c r="DE203" s="5"/>
      <c r="DF203" s="5"/>
      <c r="DG203" s="5"/>
      <c r="DH203" s="5"/>
      <c r="DI203" s="16"/>
      <c r="DJ203" s="16"/>
      <c r="DK203" s="16"/>
      <c r="DL203" s="16"/>
      <c r="DM203" s="16"/>
      <c r="DN203" s="16"/>
      <c r="DO203" s="16"/>
      <c r="DP203" s="16"/>
      <c r="DQ203" s="16"/>
      <c r="DR203" s="5"/>
      <c r="DS203" s="16"/>
      <c r="DT203" s="16"/>
      <c r="DU203" s="16"/>
      <c r="DV203" s="16"/>
      <c r="DW203" s="16"/>
      <c r="DX203" s="16"/>
      <c r="DY203" s="16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16"/>
      <c r="EK203" s="16"/>
      <c r="EL203" s="16"/>
      <c r="EM203" s="16"/>
      <c r="EN203" s="16"/>
      <c r="EO203" s="16"/>
      <c r="EP203" s="16"/>
      <c r="EQ203" s="16"/>
      <c r="ER203" s="5"/>
      <c r="ES203" s="16"/>
      <c r="ET203" s="5"/>
      <c r="EU203" s="5"/>
      <c r="EV203" s="5"/>
      <c r="EW203" s="5"/>
      <c r="EX203" s="5"/>
      <c r="EY203" s="5"/>
      <c r="EZ203" s="5"/>
      <c r="FA203" s="5"/>
      <c r="FB203" s="16"/>
      <c r="FC203" s="5"/>
      <c r="FD203" s="5"/>
      <c r="FE203" s="5"/>
      <c r="FF203" s="5"/>
      <c r="FG203" s="5"/>
      <c r="FH203" s="5"/>
      <c r="FI203" s="5"/>
      <c r="FJ203" s="5"/>
      <c r="FK203" s="16"/>
      <c r="FL203" s="5"/>
      <c r="FM203" s="5"/>
      <c r="FN203" s="5"/>
      <c r="FO203" s="5"/>
      <c r="FP203" s="5"/>
      <c r="FQ203" s="5"/>
      <c r="FR203" s="5"/>
      <c r="FS203" s="5"/>
      <c r="FT203" s="16"/>
      <c r="FU203" s="16"/>
      <c r="FV203" s="16"/>
      <c r="FW203" s="16"/>
      <c r="FX203" s="16"/>
      <c r="FY203" s="16"/>
      <c r="FZ203" s="16"/>
      <c r="GA203" s="5"/>
      <c r="GB203" s="16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9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16"/>
      <c r="IX203" s="5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</row>
    <row r="204" spans="1:33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99"/>
      <c r="AR204" s="99"/>
      <c r="AS204" s="5"/>
      <c r="AT204" s="5"/>
      <c r="AU204" s="5"/>
      <c r="AV204" s="5"/>
      <c r="AW204" s="5"/>
      <c r="AX204" s="99"/>
      <c r="AY204" s="99"/>
      <c r="AZ204" s="5"/>
      <c r="BA204" s="5"/>
      <c r="BB204" s="5"/>
      <c r="BC204" s="5"/>
      <c r="BD204" s="5"/>
      <c r="BE204" s="5"/>
      <c r="BF204" s="99"/>
      <c r="BG204" s="99"/>
      <c r="BH204" s="5"/>
      <c r="BI204" s="5"/>
      <c r="BJ204" s="5"/>
      <c r="BK204" s="5"/>
      <c r="BL204" s="5"/>
      <c r="BM204" s="99"/>
      <c r="BN204" s="99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5"/>
      <c r="CQ204" s="16"/>
      <c r="CR204" s="16"/>
      <c r="CS204" s="16"/>
      <c r="CT204" s="16"/>
      <c r="CU204" s="16"/>
      <c r="CV204" s="16"/>
      <c r="CW204" s="16"/>
      <c r="CX204" s="16"/>
      <c r="CY204" s="5"/>
      <c r="CZ204" s="16"/>
      <c r="DA204" s="5"/>
      <c r="DB204" s="5"/>
      <c r="DC204" s="5"/>
      <c r="DD204" s="5"/>
      <c r="DE204" s="5"/>
      <c r="DF204" s="5"/>
      <c r="DG204" s="5"/>
      <c r="DH204" s="5"/>
      <c r="DI204" s="16"/>
      <c r="DJ204" s="16"/>
      <c r="DK204" s="16"/>
      <c r="DL204" s="16"/>
      <c r="DM204" s="16"/>
      <c r="DN204" s="16"/>
      <c r="DO204" s="16"/>
      <c r="DP204" s="16"/>
      <c r="DQ204" s="16"/>
      <c r="DR204" s="5"/>
      <c r="DS204" s="16"/>
      <c r="DT204" s="16"/>
      <c r="DU204" s="16"/>
      <c r="DV204" s="16"/>
      <c r="DW204" s="16"/>
      <c r="DX204" s="16"/>
      <c r="DY204" s="16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16"/>
      <c r="EK204" s="16"/>
      <c r="EL204" s="16"/>
      <c r="EM204" s="16"/>
      <c r="EN204" s="16"/>
      <c r="EO204" s="16"/>
      <c r="EP204" s="16"/>
      <c r="EQ204" s="16"/>
      <c r="ER204" s="5"/>
      <c r="ES204" s="16"/>
      <c r="ET204" s="5"/>
      <c r="EU204" s="5"/>
      <c r="EV204" s="5"/>
      <c r="EW204" s="5"/>
      <c r="EX204" s="5"/>
      <c r="EY204" s="5"/>
      <c r="EZ204" s="5"/>
      <c r="FA204" s="5"/>
      <c r="FB204" s="16"/>
      <c r="FC204" s="5"/>
      <c r="FD204" s="5"/>
      <c r="FE204" s="5"/>
      <c r="FF204" s="5"/>
      <c r="FG204" s="5"/>
      <c r="FH204" s="5"/>
      <c r="FI204" s="5"/>
      <c r="FJ204" s="5"/>
      <c r="FK204" s="16"/>
      <c r="FL204" s="5"/>
      <c r="FM204" s="5"/>
      <c r="FN204" s="5"/>
      <c r="FO204" s="5"/>
      <c r="FP204" s="5"/>
      <c r="FQ204" s="5"/>
      <c r="FR204" s="5"/>
      <c r="FS204" s="5"/>
      <c r="FT204" s="16"/>
      <c r="FU204" s="16"/>
      <c r="FV204" s="16"/>
      <c r="FW204" s="16"/>
      <c r="FX204" s="16"/>
      <c r="FY204" s="16"/>
      <c r="FZ204" s="16"/>
      <c r="GA204" s="5"/>
      <c r="GB204" s="16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9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16"/>
      <c r="IX204" s="5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</row>
    <row r="205" spans="1:33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99"/>
      <c r="AR205" s="99"/>
      <c r="AS205" s="5"/>
      <c r="AT205" s="5"/>
      <c r="AU205" s="5"/>
      <c r="AV205" s="5"/>
      <c r="AW205" s="5"/>
      <c r="AX205" s="99"/>
      <c r="AY205" s="99"/>
      <c r="AZ205" s="5"/>
      <c r="BA205" s="5"/>
      <c r="BB205" s="5"/>
      <c r="BC205" s="5"/>
      <c r="BD205" s="5"/>
      <c r="BE205" s="5"/>
      <c r="BF205" s="99"/>
      <c r="BG205" s="99"/>
      <c r="BH205" s="5"/>
      <c r="BI205" s="5"/>
      <c r="BJ205" s="5"/>
      <c r="BK205" s="5"/>
      <c r="BL205" s="5"/>
      <c r="BM205" s="99"/>
      <c r="BN205" s="99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5"/>
      <c r="CQ205" s="16"/>
      <c r="CR205" s="16"/>
      <c r="CS205" s="16"/>
      <c r="CT205" s="16"/>
      <c r="CU205" s="16"/>
      <c r="CV205" s="16"/>
      <c r="CW205" s="16"/>
      <c r="CX205" s="16"/>
      <c r="CY205" s="5"/>
      <c r="CZ205" s="16"/>
      <c r="DA205" s="5"/>
      <c r="DB205" s="5"/>
      <c r="DC205" s="5"/>
      <c r="DD205" s="5"/>
      <c r="DE205" s="5"/>
      <c r="DF205" s="5"/>
      <c r="DG205" s="5"/>
      <c r="DH205" s="5"/>
      <c r="DI205" s="16"/>
      <c r="DJ205" s="16"/>
      <c r="DK205" s="16"/>
      <c r="DL205" s="16"/>
      <c r="DM205" s="16"/>
      <c r="DN205" s="16"/>
      <c r="DO205" s="16"/>
      <c r="DP205" s="16"/>
      <c r="DQ205" s="16"/>
      <c r="DR205" s="5"/>
      <c r="DS205" s="16"/>
      <c r="DT205" s="16"/>
      <c r="DU205" s="16"/>
      <c r="DV205" s="16"/>
      <c r="DW205" s="16"/>
      <c r="DX205" s="16"/>
      <c r="DY205" s="16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16"/>
      <c r="EK205" s="16"/>
      <c r="EL205" s="16"/>
      <c r="EM205" s="16"/>
      <c r="EN205" s="16"/>
      <c r="EO205" s="16"/>
      <c r="EP205" s="16"/>
      <c r="EQ205" s="16"/>
      <c r="ER205" s="5"/>
      <c r="ES205" s="16"/>
      <c r="ET205" s="5"/>
      <c r="EU205" s="5"/>
      <c r="EV205" s="5"/>
      <c r="EW205" s="5"/>
      <c r="EX205" s="5"/>
      <c r="EY205" s="5"/>
      <c r="EZ205" s="5"/>
      <c r="FA205" s="5"/>
      <c r="FB205" s="16"/>
      <c r="FC205" s="5"/>
      <c r="FD205" s="5"/>
      <c r="FE205" s="5"/>
      <c r="FF205" s="5"/>
      <c r="FG205" s="5"/>
      <c r="FH205" s="5"/>
      <c r="FI205" s="5"/>
      <c r="FJ205" s="5"/>
      <c r="FK205" s="16"/>
      <c r="FL205" s="5"/>
      <c r="FM205" s="5"/>
      <c r="FN205" s="5"/>
      <c r="FO205" s="5"/>
      <c r="FP205" s="5"/>
      <c r="FQ205" s="5"/>
      <c r="FR205" s="5"/>
      <c r="FS205" s="5"/>
      <c r="FT205" s="16"/>
      <c r="FU205" s="16"/>
      <c r="FV205" s="16"/>
      <c r="FW205" s="16"/>
      <c r="FX205" s="16"/>
      <c r="FY205" s="16"/>
      <c r="FZ205" s="16"/>
      <c r="GA205" s="5"/>
      <c r="GB205" s="16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9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16"/>
      <c r="IX205" s="5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</row>
    <row r="206" spans="1:33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99"/>
      <c r="AR206" s="99"/>
      <c r="AS206" s="5"/>
      <c r="AT206" s="5"/>
      <c r="AU206" s="5"/>
      <c r="AV206" s="5"/>
      <c r="AW206" s="5"/>
      <c r="AX206" s="99"/>
      <c r="AY206" s="99"/>
      <c r="AZ206" s="5"/>
      <c r="BA206" s="5"/>
      <c r="BB206" s="5"/>
      <c r="BC206" s="5"/>
      <c r="BD206" s="5"/>
      <c r="BE206" s="5"/>
      <c r="BF206" s="99"/>
      <c r="BG206" s="99"/>
      <c r="BH206" s="5"/>
      <c r="BI206" s="5"/>
      <c r="BJ206" s="5"/>
      <c r="BK206" s="5"/>
      <c r="BL206" s="5"/>
      <c r="BM206" s="99"/>
      <c r="BN206" s="99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5"/>
      <c r="CQ206" s="16"/>
      <c r="CR206" s="16"/>
      <c r="CS206" s="16"/>
      <c r="CT206" s="16"/>
      <c r="CU206" s="16"/>
      <c r="CV206" s="16"/>
      <c r="CW206" s="16"/>
      <c r="CX206" s="16"/>
      <c r="CY206" s="5"/>
      <c r="CZ206" s="16"/>
      <c r="DA206" s="5"/>
      <c r="DB206" s="5"/>
      <c r="DC206" s="5"/>
      <c r="DD206" s="5"/>
      <c r="DE206" s="5"/>
      <c r="DF206" s="5"/>
      <c r="DG206" s="5"/>
      <c r="DH206" s="5"/>
      <c r="DI206" s="16"/>
      <c r="DJ206" s="16"/>
      <c r="DK206" s="16"/>
      <c r="DL206" s="16"/>
      <c r="DM206" s="16"/>
      <c r="DN206" s="16"/>
      <c r="DO206" s="16"/>
      <c r="DP206" s="16"/>
      <c r="DQ206" s="16"/>
      <c r="DR206" s="5"/>
      <c r="DS206" s="16"/>
      <c r="DT206" s="16"/>
      <c r="DU206" s="16"/>
      <c r="DV206" s="16"/>
      <c r="DW206" s="16"/>
      <c r="DX206" s="16"/>
      <c r="DY206" s="16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16"/>
      <c r="EK206" s="16"/>
      <c r="EL206" s="16"/>
      <c r="EM206" s="16"/>
      <c r="EN206" s="16"/>
      <c r="EO206" s="16"/>
      <c r="EP206" s="16"/>
      <c r="EQ206" s="16"/>
      <c r="ER206" s="5"/>
      <c r="ES206" s="16"/>
      <c r="ET206" s="5"/>
      <c r="EU206" s="5"/>
      <c r="EV206" s="5"/>
      <c r="EW206" s="5"/>
      <c r="EX206" s="5"/>
      <c r="EY206" s="5"/>
      <c r="EZ206" s="5"/>
      <c r="FA206" s="5"/>
      <c r="FB206" s="16"/>
      <c r="FC206" s="5"/>
      <c r="FD206" s="5"/>
      <c r="FE206" s="5"/>
      <c r="FF206" s="5"/>
      <c r="FG206" s="5"/>
      <c r="FH206" s="5"/>
      <c r="FI206" s="5"/>
      <c r="FJ206" s="5"/>
      <c r="FK206" s="16"/>
      <c r="FL206" s="5"/>
      <c r="FM206" s="5"/>
      <c r="FN206" s="5"/>
      <c r="FO206" s="5"/>
      <c r="FP206" s="5"/>
      <c r="FQ206" s="5"/>
      <c r="FR206" s="5"/>
      <c r="FS206" s="5"/>
      <c r="FT206" s="16"/>
      <c r="FU206" s="16"/>
      <c r="FV206" s="16"/>
      <c r="FW206" s="16"/>
      <c r="FX206" s="16"/>
      <c r="FY206" s="16"/>
      <c r="FZ206" s="16"/>
      <c r="GA206" s="5"/>
      <c r="GB206" s="16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9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16"/>
      <c r="IX206" s="5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</row>
    <row r="207" spans="1:33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99"/>
      <c r="AR207" s="99"/>
      <c r="AS207" s="5"/>
      <c r="AT207" s="5"/>
      <c r="AU207" s="5"/>
      <c r="AV207" s="5"/>
      <c r="AW207" s="5"/>
      <c r="AX207" s="99"/>
      <c r="AY207" s="99"/>
      <c r="AZ207" s="5"/>
      <c r="BA207" s="5"/>
      <c r="BB207" s="5"/>
      <c r="BC207" s="5"/>
      <c r="BD207" s="5"/>
      <c r="BE207" s="5"/>
      <c r="BF207" s="99"/>
      <c r="BG207" s="99"/>
      <c r="BH207" s="5"/>
      <c r="BI207" s="5"/>
      <c r="BJ207" s="5"/>
      <c r="BK207" s="5"/>
      <c r="BL207" s="5"/>
      <c r="BM207" s="99"/>
      <c r="BN207" s="99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5"/>
      <c r="CQ207" s="16"/>
      <c r="CR207" s="16"/>
      <c r="CS207" s="16"/>
      <c r="CT207" s="16"/>
      <c r="CU207" s="16"/>
      <c r="CV207" s="16"/>
      <c r="CW207" s="16"/>
      <c r="CX207" s="16"/>
      <c r="CY207" s="5"/>
      <c r="CZ207" s="16"/>
      <c r="DA207" s="5"/>
      <c r="DB207" s="5"/>
      <c r="DC207" s="5"/>
      <c r="DD207" s="5"/>
      <c r="DE207" s="5"/>
      <c r="DF207" s="5"/>
      <c r="DG207" s="5"/>
      <c r="DH207" s="5"/>
      <c r="DI207" s="16"/>
      <c r="DJ207" s="16"/>
      <c r="DK207" s="16"/>
      <c r="DL207" s="16"/>
      <c r="DM207" s="16"/>
      <c r="DN207" s="16"/>
      <c r="DO207" s="16"/>
      <c r="DP207" s="16"/>
      <c r="DQ207" s="16"/>
      <c r="DR207" s="5"/>
      <c r="DS207" s="16"/>
      <c r="DT207" s="16"/>
      <c r="DU207" s="16"/>
      <c r="DV207" s="16"/>
      <c r="DW207" s="16"/>
      <c r="DX207" s="16"/>
      <c r="DY207" s="16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16"/>
      <c r="EK207" s="16"/>
      <c r="EL207" s="16"/>
      <c r="EM207" s="16"/>
      <c r="EN207" s="16"/>
      <c r="EO207" s="16"/>
      <c r="EP207" s="16"/>
      <c r="EQ207" s="16"/>
      <c r="ER207" s="5"/>
      <c r="ES207" s="16"/>
      <c r="ET207" s="5"/>
      <c r="EU207" s="5"/>
      <c r="EV207" s="5"/>
      <c r="EW207" s="5"/>
      <c r="EX207" s="5"/>
      <c r="EY207" s="5"/>
      <c r="EZ207" s="5"/>
      <c r="FA207" s="5"/>
      <c r="FB207" s="16"/>
      <c r="FC207" s="5"/>
      <c r="FD207" s="5"/>
      <c r="FE207" s="5"/>
      <c r="FF207" s="5"/>
      <c r="FG207" s="5"/>
      <c r="FH207" s="5"/>
      <c r="FI207" s="5"/>
      <c r="FJ207" s="5"/>
      <c r="FK207" s="16"/>
      <c r="FL207" s="5"/>
      <c r="FM207" s="5"/>
      <c r="FN207" s="5"/>
      <c r="FO207" s="5"/>
      <c r="FP207" s="5"/>
      <c r="FQ207" s="5"/>
      <c r="FR207" s="5"/>
      <c r="FS207" s="5"/>
      <c r="FT207" s="16"/>
      <c r="FU207" s="16"/>
      <c r="FV207" s="16"/>
      <c r="FW207" s="16"/>
      <c r="FX207" s="16"/>
      <c r="FY207" s="16"/>
      <c r="FZ207" s="16"/>
      <c r="GA207" s="5"/>
      <c r="GB207" s="16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9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16"/>
      <c r="IX207" s="5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</row>
    <row r="208" spans="1:33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99"/>
      <c r="AR208" s="99"/>
      <c r="AS208" s="5"/>
      <c r="AT208" s="5"/>
      <c r="AU208" s="5"/>
      <c r="AV208" s="5"/>
      <c r="AW208" s="5"/>
      <c r="AX208" s="99"/>
      <c r="AY208" s="99"/>
      <c r="AZ208" s="5"/>
      <c r="BA208" s="5"/>
      <c r="BB208" s="5"/>
      <c r="BC208" s="5"/>
      <c r="BD208" s="5"/>
      <c r="BE208" s="5"/>
      <c r="BF208" s="99"/>
      <c r="BG208" s="99"/>
      <c r="BH208" s="5"/>
      <c r="BI208" s="5"/>
      <c r="BJ208" s="5"/>
      <c r="BK208" s="5"/>
      <c r="BL208" s="5"/>
      <c r="BM208" s="99"/>
      <c r="BN208" s="99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5"/>
      <c r="CQ208" s="16"/>
      <c r="CR208" s="16"/>
      <c r="CS208" s="16"/>
      <c r="CT208" s="16"/>
      <c r="CU208" s="16"/>
      <c r="CV208" s="16"/>
      <c r="CW208" s="16"/>
      <c r="CX208" s="16"/>
      <c r="CY208" s="5"/>
      <c r="CZ208" s="16"/>
      <c r="DA208" s="5"/>
      <c r="DB208" s="5"/>
      <c r="DC208" s="5"/>
      <c r="DD208" s="5"/>
      <c r="DE208" s="5"/>
      <c r="DF208" s="5"/>
      <c r="DG208" s="5"/>
      <c r="DH208" s="5"/>
      <c r="DI208" s="16"/>
      <c r="DJ208" s="16"/>
      <c r="DK208" s="16"/>
      <c r="DL208" s="16"/>
      <c r="DM208" s="16"/>
      <c r="DN208" s="16"/>
      <c r="DO208" s="16"/>
      <c r="DP208" s="16"/>
      <c r="DQ208" s="16"/>
      <c r="DR208" s="5"/>
      <c r="DS208" s="16"/>
      <c r="DT208" s="16"/>
      <c r="DU208" s="16"/>
      <c r="DV208" s="16"/>
      <c r="DW208" s="16"/>
      <c r="DX208" s="16"/>
      <c r="DY208" s="16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16"/>
      <c r="EK208" s="16"/>
      <c r="EL208" s="16"/>
      <c r="EM208" s="16"/>
      <c r="EN208" s="16"/>
      <c r="EO208" s="16"/>
      <c r="EP208" s="16"/>
      <c r="EQ208" s="16"/>
      <c r="ER208" s="5"/>
      <c r="ES208" s="16"/>
      <c r="ET208" s="5"/>
      <c r="EU208" s="5"/>
      <c r="EV208" s="5"/>
      <c r="EW208" s="5"/>
      <c r="EX208" s="5"/>
      <c r="EY208" s="5"/>
      <c r="EZ208" s="5"/>
      <c r="FA208" s="5"/>
      <c r="FB208" s="16"/>
      <c r="FC208" s="5"/>
      <c r="FD208" s="5"/>
      <c r="FE208" s="5"/>
      <c r="FF208" s="5"/>
      <c r="FG208" s="5"/>
      <c r="FH208" s="5"/>
      <c r="FI208" s="5"/>
      <c r="FJ208" s="5"/>
      <c r="FK208" s="16"/>
      <c r="FL208" s="5"/>
      <c r="FM208" s="5"/>
      <c r="FN208" s="5"/>
      <c r="FO208" s="5"/>
      <c r="FP208" s="5"/>
      <c r="FQ208" s="5"/>
      <c r="FR208" s="5"/>
      <c r="FS208" s="5"/>
      <c r="FT208" s="16"/>
      <c r="FU208" s="16"/>
      <c r="FV208" s="16"/>
      <c r="FW208" s="16"/>
      <c r="FX208" s="16"/>
      <c r="FY208" s="16"/>
      <c r="FZ208" s="16"/>
      <c r="GA208" s="5"/>
      <c r="GB208" s="16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9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16"/>
      <c r="IX208" s="5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</row>
    <row r="209" spans="1:33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99"/>
      <c r="AR209" s="99"/>
      <c r="AS209" s="5"/>
      <c r="AT209" s="5"/>
      <c r="AU209" s="5"/>
      <c r="AV209" s="5"/>
      <c r="AW209" s="5"/>
      <c r="AX209" s="99"/>
      <c r="AY209" s="99"/>
      <c r="AZ209" s="5"/>
      <c r="BA209" s="5"/>
      <c r="BB209" s="5"/>
      <c r="BC209" s="5"/>
      <c r="BD209" s="5"/>
      <c r="BE209" s="5"/>
      <c r="BF209" s="99"/>
      <c r="BG209" s="99"/>
      <c r="BH209" s="5"/>
      <c r="BI209" s="5"/>
      <c r="BJ209" s="5"/>
      <c r="BK209" s="5"/>
      <c r="BL209" s="5"/>
      <c r="BM209" s="99"/>
      <c r="BN209" s="99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5"/>
      <c r="CQ209" s="16"/>
      <c r="CR209" s="16"/>
      <c r="CS209" s="16"/>
      <c r="CT209" s="16"/>
      <c r="CU209" s="16"/>
      <c r="CV209" s="16"/>
      <c r="CW209" s="16"/>
      <c r="CX209" s="16"/>
      <c r="CY209" s="5"/>
      <c r="CZ209" s="16"/>
      <c r="DA209" s="5"/>
      <c r="DB209" s="5"/>
      <c r="DC209" s="5"/>
      <c r="DD209" s="5"/>
      <c r="DE209" s="5"/>
      <c r="DF209" s="5"/>
      <c r="DG209" s="5"/>
      <c r="DH209" s="5"/>
      <c r="DI209" s="16"/>
      <c r="DJ209" s="16"/>
      <c r="DK209" s="16"/>
      <c r="DL209" s="16"/>
      <c r="DM209" s="16"/>
      <c r="DN209" s="16"/>
      <c r="DO209" s="16"/>
      <c r="DP209" s="16"/>
      <c r="DQ209" s="16"/>
      <c r="DR209" s="5"/>
      <c r="DS209" s="16"/>
      <c r="DT209" s="16"/>
      <c r="DU209" s="16"/>
      <c r="DV209" s="16"/>
      <c r="DW209" s="16"/>
      <c r="DX209" s="16"/>
      <c r="DY209" s="16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16"/>
      <c r="EK209" s="16"/>
      <c r="EL209" s="16"/>
      <c r="EM209" s="16"/>
      <c r="EN209" s="16"/>
      <c r="EO209" s="16"/>
      <c r="EP209" s="16"/>
      <c r="EQ209" s="16"/>
      <c r="ER209" s="5"/>
      <c r="ES209" s="16"/>
      <c r="ET209" s="5"/>
      <c r="EU209" s="5"/>
      <c r="EV209" s="5"/>
      <c r="EW209" s="5"/>
      <c r="EX209" s="5"/>
      <c r="EY209" s="5"/>
      <c r="EZ209" s="5"/>
      <c r="FA209" s="5"/>
      <c r="FB209" s="16"/>
      <c r="FC209" s="5"/>
      <c r="FD209" s="5"/>
      <c r="FE209" s="5"/>
      <c r="FF209" s="5"/>
      <c r="FG209" s="5"/>
      <c r="FH209" s="5"/>
      <c r="FI209" s="5"/>
      <c r="FJ209" s="5"/>
      <c r="FK209" s="16"/>
      <c r="FL209" s="5"/>
      <c r="FM209" s="5"/>
      <c r="FN209" s="5"/>
      <c r="FO209" s="5"/>
      <c r="FP209" s="5"/>
      <c r="FQ209" s="5"/>
      <c r="FR209" s="5"/>
      <c r="FS209" s="5"/>
      <c r="FT209" s="16"/>
      <c r="FU209" s="16"/>
      <c r="FV209" s="16"/>
      <c r="FW209" s="16"/>
      <c r="FX209" s="16"/>
      <c r="FY209" s="16"/>
      <c r="FZ209" s="16"/>
      <c r="GA209" s="5"/>
      <c r="GB209" s="16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9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16"/>
      <c r="IX209" s="5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</row>
    <row r="210" spans="1:33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99"/>
      <c r="AR210" s="99"/>
      <c r="AS210" s="5"/>
      <c r="AT210" s="5"/>
      <c r="AU210" s="5"/>
      <c r="AV210" s="5"/>
      <c r="AW210" s="5"/>
      <c r="AX210" s="99"/>
      <c r="AY210" s="99"/>
      <c r="AZ210" s="5"/>
      <c r="BA210" s="5"/>
      <c r="BB210" s="5"/>
      <c r="BC210" s="5"/>
      <c r="BD210" s="5"/>
      <c r="BE210" s="5"/>
      <c r="BF210" s="99"/>
      <c r="BG210" s="99"/>
      <c r="BH210" s="5"/>
      <c r="BI210" s="5"/>
      <c r="BJ210" s="5"/>
      <c r="BK210" s="5"/>
      <c r="BL210" s="5"/>
      <c r="BM210" s="99"/>
      <c r="BN210" s="99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5"/>
      <c r="CQ210" s="16"/>
      <c r="CR210" s="16"/>
      <c r="CS210" s="16"/>
      <c r="CT210" s="16"/>
      <c r="CU210" s="16"/>
      <c r="CV210" s="16"/>
      <c r="CW210" s="16"/>
      <c r="CX210" s="16"/>
      <c r="CY210" s="5"/>
      <c r="CZ210" s="16"/>
      <c r="DA210" s="5"/>
      <c r="DB210" s="5"/>
      <c r="DC210" s="5"/>
      <c r="DD210" s="5"/>
      <c r="DE210" s="5"/>
      <c r="DF210" s="5"/>
      <c r="DG210" s="5"/>
      <c r="DH210" s="5"/>
      <c r="DI210" s="16"/>
      <c r="DJ210" s="16"/>
      <c r="DK210" s="16"/>
      <c r="DL210" s="16"/>
      <c r="DM210" s="16"/>
      <c r="DN210" s="16"/>
      <c r="DO210" s="16"/>
      <c r="DP210" s="16"/>
      <c r="DQ210" s="16"/>
      <c r="DR210" s="5"/>
      <c r="DS210" s="16"/>
      <c r="DT210" s="16"/>
      <c r="DU210" s="16"/>
      <c r="DV210" s="16"/>
      <c r="DW210" s="16"/>
      <c r="DX210" s="16"/>
      <c r="DY210" s="16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16"/>
      <c r="EK210" s="16"/>
      <c r="EL210" s="16"/>
      <c r="EM210" s="16"/>
      <c r="EN210" s="16"/>
      <c r="EO210" s="16"/>
      <c r="EP210" s="16"/>
      <c r="EQ210" s="16"/>
      <c r="ER210" s="5"/>
      <c r="ES210" s="16"/>
      <c r="ET210" s="5"/>
      <c r="EU210" s="5"/>
      <c r="EV210" s="5"/>
      <c r="EW210" s="5"/>
      <c r="EX210" s="5"/>
      <c r="EY210" s="5"/>
      <c r="EZ210" s="5"/>
      <c r="FA210" s="5"/>
      <c r="FB210" s="16"/>
      <c r="FC210" s="5"/>
      <c r="FD210" s="5"/>
      <c r="FE210" s="5"/>
      <c r="FF210" s="5"/>
      <c r="FG210" s="5"/>
      <c r="FH210" s="5"/>
      <c r="FI210" s="5"/>
      <c r="FJ210" s="5"/>
      <c r="FK210" s="16"/>
      <c r="FL210" s="5"/>
      <c r="FM210" s="5"/>
      <c r="FN210" s="5"/>
      <c r="FO210" s="5"/>
      <c r="FP210" s="5"/>
      <c r="FQ210" s="5"/>
      <c r="FR210" s="5"/>
      <c r="FS210" s="5"/>
      <c r="FT210" s="16"/>
      <c r="FU210" s="16"/>
      <c r="FV210" s="16"/>
      <c r="FW210" s="16"/>
      <c r="FX210" s="16"/>
      <c r="FY210" s="16"/>
      <c r="FZ210" s="16"/>
      <c r="GA210" s="5"/>
      <c r="GB210" s="16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9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16"/>
      <c r="IX210" s="5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</row>
    <row r="211" spans="1:33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99"/>
      <c r="AR211" s="99"/>
      <c r="AS211" s="5"/>
      <c r="AT211" s="5"/>
      <c r="AU211" s="5"/>
      <c r="AV211" s="5"/>
      <c r="AW211" s="5"/>
      <c r="AX211" s="99"/>
      <c r="AY211" s="99"/>
      <c r="AZ211" s="5"/>
      <c r="BA211" s="5"/>
      <c r="BB211" s="5"/>
      <c r="BC211" s="5"/>
      <c r="BD211" s="5"/>
      <c r="BE211" s="5"/>
      <c r="BF211" s="99"/>
      <c r="BG211" s="99"/>
      <c r="BH211" s="5"/>
      <c r="BI211" s="5"/>
      <c r="BJ211" s="5"/>
      <c r="BK211" s="5"/>
      <c r="BL211" s="5"/>
      <c r="BM211" s="99"/>
      <c r="BN211" s="99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5"/>
      <c r="CQ211" s="16"/>
      <c r="CR211" s="16"/>
      <c r="CS211" s="16"/>
      <c r="CT211" s="16"/>
      <c r="CU211" s="16"/>
      <c r="CV211" s="16"/>
      <c r="CW211" s="16"/>
      <c r="CX211" s="16"/>
      <c r="CY211" s="5"/>
      <c r="CZ211" s="16"/>
      <c r="DA211" s="5"/>
      <c r="DB211" s="5"/>
      <c r="DC211" s="5"/>
      <c r="DD211" s="5"/>
      <c r="DE211" s="5"/>
      <c r="DF211" s="5"/>
      <c r="DG211" s="5"/>
      <c r="DH211" s="5"/>
      <c r="DI211" s="16"/>
      <c r="DJ211" s="16"/>
      <c r="DK211" s="16"/>
      <c r="DL211" s="16"/>
      <c r="DM211" s="16"/>
      <c r="DN211" s="16"/>
      <c r="DO211" s="16"/>
      <c r="DP211" s="16"/>
      <c r="DQ211" s="16"/>
      <c r="DR211" s="5"/>
      <c r="DS211" s="16"/>
      <c r="DT211" s="16"/>
      <c r="DU211" s="16"/>
      <c r="DV211" s="16"/>
      <c r="DW211" s="16"/>
      <c r="DX211" s="16"/>
      <c r="DY211" s="16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16"/>
      <c r="EK211" s="16"/>
      <c r="EL211" s="16"/>
      <c r="EM211" s="16"/>
      <c r="EN211" s="16"/>
      <c r="EO211" s="16"/>
      <c r="EP211" s="16"/>
      <c r="EQ211" s="16"/>
      <c r="ER211" s="5"/>
      <c r="ES211" s="16"/>
      <c r="ET211" s="5"/>
      <c r="EU211" s="5"/>
      <c r="EV211" s="5"/>
      <c r="EW211" s="5"/>
      <c r="EX211" s="5"/>
      <c r="EY211" s="5"/>
      <c r="EZ211" s="5"/>
      <c r="FA211" s="5"/>
      <c r="FB211" s="16"/>
      <c r="FC211" s="5"/>
      <c r="FD211" s="5"/>
      <c r="FE211" s="5"/>
      <c r="FF211" s="5"/>
      <c r="FG211" s="5"/>
      <c r="FH211" s="5"/>
      <c r="FI211" s="5"/>
      <c r="FJ211" s="5"/>
      <c r="FK211" s="16"/>
      <c r="FL211" s="5"/>
      <c r="FM211" s="5"/>
      <c r="FN211" s="5"/>
      <c r="FO211" s="5"/>
      <c r="FP211" s="5"/>
      <c r="FQ211" s="5"/>
      <c r="FR211" s="5"/>
      <c r="FS211" s="5"/>
      <c r="FT211" s="16"/>
      <c r="FU211" s="16"/>
      <c r="FV211" s="16"/>
      <c r="FW211" s="16"/>
      <c r="FX211" s="16"/>
      <c r="FY211" s="16"/>
      <c r="FZ211" s="16"/>
      <c r="GA211" s="5"/>
      <c r="GB211" s="16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9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16"/>
      <c r="IX211" s="5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</row>
    <row r="212" spans="1:33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99"/>
      <c r="AR212" s="99"/>
      <c r="AS212" s="5"/>
      <c r="AT212" s="5"/>
      <c r="AU212" s="5"/>
      <c r="AV212" s="5"/>
      <c r="AW212" s="5"/>
      <c r="AX212" s="99"/>
      <c r="AY212" s="99"/>
      <c r="AZ212" s="5"/>
      <c r="BA212" s="5"/>
      <c r="BB212" s="5"/>
      <c r="BC212" s="5"/>
      <c r="BD212" s="5"/>
      <c r="BE212" s="5"/>
      <c r="BF212" s="99"/>
      <c r="BG212" s="99"/>
      <c r="BH212" s="5"/>
      <c r="BI212" s="5"/>
      <c r="BJ212" s="5"/>
      <c r="BK212" s="5"/>
      <c r="BL212" s="5"/>
      <c r="BM212" s="99"/>
      <c r="BN212" s="99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5"/>
      <c r="CQ212" s="16"/>
      <c r="CR212" s="16"/>
      <c r="CS212" s="16"/>
      <c r="CT212" s="16"/>
      <c r="CU212" s="16"/>
      <c r="CV212" s="16"/>
      <c r="CW212" s="16"/>
      <c r="CX212" s="16"/>
      <c r="CY212" s="5"/>
      <c r="CZ212" s="16"/>
      <c r="DA212" s="5"/>
      <c r="DB212" s="5"/>
      <c r="DC212" s="5"/>
      <c r="DD212" s="5"/>
      <c r="DE212" s="5"/>
      <c r="DF212" s="5"/>
      <c r="DG212" s="5"/>
      <c r="DH212" s="5"/>
      <c r="DI212" s="16"/>
      <c r="DJ212" s="16"/>
      <c r="DK212" s="16"/>
      <c r="DL212" s="16"/>
      <c r="DM212" s="16"/>
      <c r="DN212" s="16"/>
      <c r="DO212" s="16"/>
      <c r="DP212" s="16"/>
      <c r="DQ212" s="16"/>
      <c r="DR212" s="5"/>
      <c r="DS212" s="16"/>
      <c r="DT212" s="16"/>
      <c r="DU212" s="16"/>
      <c r="DV212" s="16"/>
      <c r="DW212" s="16"/>
      <c r="DX212" s="16"/>
      <c r="DY212" s="16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16"/>
      <c r="EK212" s="16"/>
      <c r="EL212" s="16"/>
      <c r="EM212" s="16"/>
      <c r="EN212" s="16"/>
      <c r="EO212" s="16"/>
      <c r="EP212" s="16"/>
      <c r="EQ212" s="16"/>
      <c r="ER212" s="5"/>
      <c r="ES212" s="16"/>
      <c r="ET212" s="5"/>
      <c r="EU212" s="5"/>
      <c r="EV212" s="5"/>
      <c r="EW212" s="5"/>
      <c r="EX212" s="5"/>
      <c r="EY212" s="5"/>
      <c r="EZ212" s="5"/>
      <c r="FA212" s="5"/>
      <c r="FB212" s="16"/>
      <c r="FC212" s="5"/>
      <c r="FD212" s="5"/>
      <c r="FE212" s="5"/>
      <c r="FF212" s="5"/>
      <c r="FG212" s="5"/>
      <c r="FH212" s="5"/>
      <c r="FI212" s="5"/>
      <c r="FJ212" s="5"/>
      <c r="FK212" s="16"/>
      <c r="FL212" s="5"/>
      <c r="FM212" s="5"/>
      <c r="FN212" s="5"/>
      <c r="FO212" s="5"/>
      <c r="FP212" s="5"/>
      <c r="FQ212" s="5"/>
      <c r="FR212" s="5"/>
      <c r="FS212" s="5"/>
      <c r="FT212" s="16"/>
      <c r="FU212" s="16"/>
      <c r="FV212" s="16"/>
      <c r="FW212" s="16"/>
      <c r="FX212" s="16"/>
      <c r="FY212" s="16"/>
      <c r="FZ212" s="16"/>
      <c r="GA212" s="5"/>
      <c r="GB212" s="16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9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16"/>
      <c r="IX212" s="5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</row>
    <row r="213" spans="1:33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99"/>
      <c r="AR213" s="99"/>
      <c r="AS213" s="5"/>
      <c r="AT213" s="5"/>
      <c r="AU213" s="5"/>
      <c r="AV213" s="5"/>
      <c r="AW213" s="5"/>
      <c r="AX213" s="99"/>
      <c r="AY213" s="99"/>
      <c r="AZ213" s="5"/>
      <c r="BA213" s="5"/>
      <c r="BB213" s="5"/>
      <c r="BC213" s="5"/>
      <c r="BD213" s="5"/>
      <c r="BE213" s="5"/>
      <c r="BF213" s="99"/>
      <c r="BG213" s="99"/>
      <c r="BH213" s="5"/>
      <c r="BI213" s="5"/>
      <c r="BJ213" s="5"/>
      <c r="BK213" s="5"/>
      <c r="BL213" s="5"/>
      <c r="BM213" s="99"/>
      <c r="BN213" s="99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5"/>
      <c r="CQ213" s="16"/>
      <c r="CR213" s="16"/>
      <c r="CS213" s="16"/>
      <c r="CT213" s="16"/>
      <c r="CU213" s="16"/>
      <c r="CV213" s="16"/>
      <c r="CW213" s="16"/>
      <c r="CX213" s="16"/>
      <c r="CY213" s="5"/>
      <c r="CZ213" s="16"/>
      <c r="DA213" s="5"/>
      <c r="DB213" s="5"/>
      <c r="DC213" s="5"/>
      <c r="DD213" s="5"/>
      <c r="DE213" s="5"/>
      <c r="DF213" s="5"/>
      <c r="DG213" s="5"/>
      <c r="DH213" s="5"/>
      <c r="DI213" s="16"/>
      <c r="DJ213" s="16"/>
      <c r="DK213" s="16"/>
      <c r="DL213" s="16"/>
      <c r="DM213" s="16"/>
      <c r="DN213" s="16"/>
      <c r="DO213" s="16"/>
      <c r="DP213" s="16"/>
      <c r="DQ213" s="16"/>
      <c r="DR213" s="5"/>
      <c r="DS213" s="16"/>
      <c r="DT213" s="16"/>
      <c r="DU213" s="16"/>
      <c r="DV213" s="16"/>
      <c r="DW213" s="16"/>
      <c r="DX213" s="16"/>
      <c r="DY213" s="16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16"/>
      <c r="EK213" s="16"/>
      <c r="EL213" s="16"/>
      <c r="EM213" s="16"/>
      <c r="EN213" s="16"/>
      <c r="EO213" s="16"/>
      <c r="EP213" s="16"/>
      <c r="EQ213" s="16"/>
      <c r="ER213" s="5"/>
      <c r="ES213" s="16"/>
      <c r="ET213" s="5"/>
      <c r="EU213" s="5"/>
      <c r="EV213" s="5"/>
      <c r="EW213" s="5"/>
      <c r="EX213" s="5"/>
      <c r="EY213" s="5"/>
      <c r="EZ213" s="5"/>
      <c r="FA213" s="5"/>
      <c r="FB213" s="16"/>
      <c r="FC213" s="5"/>
      <c r="FD213" s="5"/>
      <c r="FE213" s="5"/>
      <c r="FF213" s="5"/>
      <c r="FG213" s="5"/>
      <c r="FH213" s="5"/>
      <c r="FI213" s="5"/>
      <c r="FJ213" s="5"/>
      <c r="FK213" s="16"/>
      <c r="FL213" s="5"/>
      <c r="FM213" s="5"/>
      <c r="FN213" s="5"/>
      <c r="FO213" s="5"/>
      <c r="FP213" s="5"/>
      <c r="FQ213" s="5"/>
      <c r="FR213" s="5"/>
      <c r="FS213" s="5"/>
      <c r="FT213" s="16"/>
      <c r="FU213" s="16"/>
      <c r="FV213" s="16"/>
      <c r="FW213" s="16"/>
      <c r="FX213" s="16"/>
      <c r="FY213" s="16"/>
      <c r="FZ213" s="16"/>
      <c r="GA213" s="5"/>
      <c r="GB213" s="16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9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16"/>
      <c r="IX213" s="5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</row>
    <row r="214" spans="1:33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99"/>
      <c r="AR214" s="99"/>
      <c r="AS214" s="5"/>
      <c r="AT214" s="5"/>
      <c r="AU214" s="5"/>
      <c r="AV214" s="5"/>
      <c r="AW214" s="5"/>
      <c r="AX214" s="99"/>
      <c r="AY214" s="99"/>
      <c r="AZ214" s="5"/>
      <c r="BA214" s="5"/>
      <c r="BB214" s="5"/>
      <c r="BC214" s="5"/>
      <c r="BD214" s="5"/>
      <c r="BE214" s="5"/>
      <c r="BF214" s="99"/>
      <c r="BG214" s="99"/>
      <c r="BH214" s="5"/>
      <c r="BI214" s="5"/>
      <c r="BJ214" s="5"/>
      <c r="BK214" s="5"/>
      <c r="BL214" s="5"/>
      <c r="BM214" s="99"/>
      <c r="BN214" s="99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5"/>
      <c r="CQ214" s="16"/>
      <c r="CR214" s="16"/>
      <c r="CS214" s="16"/>
      <c r="CT214" s="16"/>
      <c r="CU214" s="16"/>
      <c r="CV214" s="16"/>
      <c r="CW214" s="16"/>
      <c r="CX214" s="16"/>
      <c r="CY214" s="5"/>
      <c r="CZ214" s="16"/>
      <c r="DA214" s="5"/>
      <c r="DB214" s="5"/>
      <c r="DC214" s="5"/>
      <c r="DD214" s="5"/>
      <c r="DE214" s="5"/>
      <c r="DF214" s="5"/>
      <c r="DG214" s="5"/>
      <c r="DH214" s="5"/>
      <c r="DI214" s="16"/>
      <c r="DJ214" s="16"/>
      <c r="DK214" s="16"/>
      <c r="DL214" s="16"/>
      <c r="DM214" s="16"/>
      <c r="DN214" s="16"/>
      <c r="DO214" s="16"/>
      <c r="DP214" s="16"/>
      <c r="DQ214" s="16"/>
      <c r="DR214" s="5"/>
      <c r="DS214" s="16"/>
      <c r="DT214" s="16"/>
      <c r="DU214" s="16"/>
      <c r="DV214" s="16"/>
      <c r="DW214" s="16"/>
      <c r="DX214" s="16"/>
      <c r="DY214" s="16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16"/>
      <c r="EK214" s="16"/>
      <c r="EL214" s="16"/>
      <c r="EM214" s="16"/>
      <c r="EN214" s="16"/>
      <c r="EO214" s="16"/>
      <c r="EP214" s="16"/>
      <c r="EQ214" s="16"/>
      <c r="ER214" s="5"/>
      <c r="ES214" s="16"/>
      <c r="ET214" s="5"/>
      <c r="EU214" s="5"/>
      <c r="EV214" s="5"/>
      <c r="EW214" s="5"/>
      <c r="EX214" s="5"/>
      <c r="EY214" s="5"/>
      <c r="EZ214" s="5"/>
      <c r="FA214" s="5"/>
      <c r="FB214" s="16"/>
      <c r="FC214" s="5"/>
      <c r="FD214" s="5"/>
      <c r="FE214" s="5"/>
      <c r="FF214" s="5"/>
      <c r="FG214" s="5"/>
      <c r="FH214" s="5"/>
      <c r="FI214" s="5"/>
      <c r="FJ214" s="5"/>
      <c r="FK214" s="16"/>
      <c r="FL214" s="5"/>
      <c r="FM214" s="5"/>
      <c r="FN214" s="5"/>
      <c r="FO214" s="5"/>
      <c r="FP214" s="5"/>
      <c r="FQ214" s="5"/>
      <c r="FR214" s="5"/>
      <c r="FS214" s="5"/>
      <c r="FT214" s="16"/>
      <c r="FU214" s="16"/>
      <c r="FV214" s="16"/>
      <c r="FW214" s="16"/>
      <c r="FX214" s="16"/>
      <c r="FY214" s="16"/>
      <c r="FZ214" s="16"/>
      <c r="GA214" s="5"/>
      <c r="GB214" s="16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9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16"/>
      <c r="IX214" s="5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</row>
    <row r="215" spans="1:33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S215" s="1"/>
      <c r="AT215" s="1"/>
      <c r="AU215" s="1"/>
      <c r="AV215" s="1"/>
      <c r="AW215" s="1"/>
      <c r="AZ215" s="1"/>
      <c r="BA215" s="1"/>
      <c r="BB215" s="1"/>
      <c r="BC215" s="1"/>
      <c r="BD215" s="1"/>
      <c r="BE215" s="1"/>
      <c r="BH215" s="1"/>
      <c r="BI215" s="1"/>
      <c r="BJ215" s="1"/>
      <c r="BK215" s="1"/>
      <c r="BL215" s="1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1"/>
      <c r="CQ215" s="3"/>
      <c r="CR215" s="3"/>
      <c r="CS215" s="3"/>
      <c r="CT215" s="3"/>
      <c r="CU215" s="3"/>
      <c r="CV215" s="3"/>
      <c r="CW215" s="3"/>
      <c r="CX215" s="3"/>
      <c r="CY215" s="1"/>
      <c r="CZ215" s="3"/>
      <c r="DA215" s="1"/>
      <c r="DB215" s="1"/>
      <c r="DC215" s="1"/>
      <c r="DD215" s="1"/>
      <c r="DE215" s="1"/>
      <c r="DF215" s="1"/>
      <c r="DG215" s="1"/>
      <c r="DH215" s="1"/>
      <c r="DI215" s="3"/>
      <c r="DJ215" s="3"/>
      <c r="DK215" s="3"/>
      <c r="DL215" s="3"/>
      <c r="DM215" s="3"/>
      <c r="DN215" s="3"/>
      <c r="DO215" s="3"/>
      <c r="DP215" s="3"/>
      <c r="DQ215" s="3"/>
      <c r="DR215" s="1"/>
      <c r="DS215" s="3"/>
      <c r="DT215" s="3"/>
      <c r="DU215" s="3"/>
      <c r="DV215" s="3"/>
      <c r="DW215" s="3"/>
      <c r="DX215" s="3"/>
      <c r="DY215" s="3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3"/>
      <c r="EK215" s="3"/>
      <c r="EL215" s="3"/>
      <c r="EM215" s="3"/>
      <c r="EN215" s="3"/>
      <c r="EO215" s="3"/>
      <c r="EP215" s="3"/>
      <c r="EQ215" s="3"/>
      <c r="ER215" s="1"/>
      <c r="ES215" s="3"/>
      <c r="ET215" s="1"/>
      <c r="EU215" s="1"/>
      <c r="EV215" s="1"/>
      <c r="EW215" s="1"/>
      <c r="EX215" s="1"/>
      <c r="EY215" s="1"/>
      <c r="EZ215" s="1"/>
      <c r="FA215" s="1"/>
      <c r="FB215" s="3"/>
      <c r="FC215" s="1"/>
      <c r="FD215" s="1"/>
      <c r="FE215" s="1"/>
      <c r="FF215" s="1"/>
      <c r="FG215" s="1"/>
      <c r="FH215" s="1"/>
      <c r="FI215" s="1"/>
      <c r="FJ215" s="1"/>
      <c r="FK215" s="3"/>
      <c r="FL215" s="1"/>
      <c r="FM215" s="1"/>
      <c r="FN215" s="1"/>
      <c r="FO215" s="1"/>
      <c r="FP215" s="1"/>
      <c r="FQ215" s="1"/>
      <c r="FR215" s="1"/>
      <c r="FS215" s="1"/>
      <c r="FT215" s="3"/>
      <c r="FU215" s="3"/>
      <c r="FV215" s="3"/>
      <c r="FW215" s="3"/>
      <c r="FX215" s="3"/>
      <c r="FY215" s="3"/>
      <c r="FZ215" s="3"/>
      <c r="GA215" s="1"/>
      <c r="GB215" s="3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20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3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</row>
    <row r="216" spans="1:33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S216" s="1"/>
      <c r="AT216" s="1"/>
      <c r="AU216" s="1"/>
      <c r="AV216" s="1"/>
      <c r="AW216" s="1"/>
      <c r="AZ216" s="1"/>
      <c r="BA216" s="1"/>
      <c r="BB216" s="1"/>
      <c r="BC216" s="1"/>
      <c r="BD216" s="1"/>
      <c r="BE216" s="1"/>
      <c r="BH216" s="1"/>
      <c r="BI216" s="1"/>
      <c r="BJ216" s="1"/>
      <c r="BK216" s="1"/>
      <c r="BL216" s="1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1"/>
      <c r="CQ216" s="3"/>
      <c r="CR216" s="3"/>
      <c r="CS216" s="3"/>
      <c r="CT216" s="3"/>
      <c r="CU216" s="3"/>
      <c r="CV216" s="3"/>
      <c r="CW216" s="3"/>
      <c r="CX216" s="3"/>
      <c r="CY216" s="1"/>
      <c r="CZ216" s="3"/>
      <c r="DA216" s="1"/>
      <c r="DB216" s="1"/>
      <c r="DC216" s="1"/>
      <c r="DD216" s="1"/>
      <c r="DE216" s="1"/>
      <c r="DF216" s="1"/>
      <c r="DG216" s="1"/>
      <c r="DH216" s="1"/>
      <c r="DI216" s="3"/>
      <c r="DJ216" s="3"/>
      <c r="DK216" s="3"/>
      <c r="DL216" s="3"/>
      <c r="DM216" s="3"/>
      <c r="DN216" s="3"/>
      <c r="DO216" s="3"/>
      <c r="DP216" s="3"/>
      <c r="DQ216" s="3"/>
      <c r="DR216" s="1"/>
      <c r="DS216" s="3"/>
      <c r="DT216" s="3"/>
      <c r="DU216" s="3"/>
      <c r="DV216" s="3"/>
      <c r="DW216" s="3"/>
      <c r="DX216" s="3"/>
      <c r="DY216" s="3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3"/>
      <c r="EK216" s="3"/>
      <c r="EL216" s="3"/>
      <c r="EM216" s="3"/>
      <c r="EN216" s="3"/>
      <c r="EO216" s="3"/>
      <c r="EP216" s="3"/>
      <c r="EQ216" s="3"/>
      <c r="ER216" s="1"/>
      <c r="ES216" s="3"/>
      <c r="ET216" s="1"/>
      <c r="EU216" s="1"/>
      <c r="EV216" s="1"/>
      <c r="EW216" s="1"/>
      <c r="EX216" s="1"/>
      <c r="EY216" s="1"/>
      <c r="EZ216" s="1"/>
      <c r="FA216" s="1"/>
      <c r="FB216" s="3"/>
      <c r="FC216" s="1"/>
      <c r="FD216" s="1"/>
      <c r="FE216" s="1"/>
      <c r="FF216" s="1"/>
      <c r="FG216" s="1"/>
      <c r="FH216" s="1"/>
      <c r="FI216" s="1"/>
      <c r="FJ216" s="1"/>
      <c r="FK216" s="3"/>
      <c r="FL216" s="1"/>
      <c r="FM216" s="1"/>
      <c r="FN216" s="1"/>
      <c r="FO216" s="1"/>
      <c r="FP216" s="1"/>
      <c r="FQ216" s="1"/>
      <c r="FR216" s="1"/>
      <c r="FS216" s="1"/>
      <c r="FT216" s="3"/>
      <c r="FU216" s="3"/>
      <c r="FV216" s="3"/>
      <c r="FW216" s="3"/>
      <c r="FX216" s="3"/>
      <c r="FY216" s="3"/>
      <c r="FZ216" s="3"/>
      <c r="GA216" s="1"/>
      <c r="GB216" s="3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20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3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</row>
    <row r="217" spans="1:33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S217" s="1"/>
      <c r="AT217" s="1"/>
      <c r="AU217" s="1"/>
      <c r="AV217" s="1"/>
      <c r="AW217" s="1"/>
      <c r="AZ217" s="1"/>
      <c r="BA217" s="1"/>
      <c r="BB217" s="1"/>
      <c r="BC217" s="1"/>
      <c r="BD217" s="1"/>
      <c r="BE217" s="1"/>
      <c r="BH217" s="1"/>
      <c r="BI217" s="1"/>
      <c r="BJ217" s="1"/>
      <c r="BK217" s="1"/>
      <c r="BL217" s="1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1"/>
      <c r="CQ217" s="3"/>
      <c r="CR217" s="3"/>
      <c r="CS217" s="3"/>
      <c r="CT217" s="3"/>
      <c r="CU217" s="3"/>
      <c r="CV217" s="3"/>
      <c r="CW217" s="3"/>
      <c r="CX217" s="3"/>
      <c r="CY217" s="1"/>
      <c r="CZ217" s="3"/>
      <c r="DA217" s="1"/>
      <c r="DB217" s="1"/>
      <c r="DC217" s="1"/>
      <c r="DD217" s="1"/>
      <c r="DE217" s="1"/>
      <c r="DF217" s="1"/>
      <c r="DG217" s="1"/>
      <c r="DH217" s="1"/>
      <c r="DI217" s="3"/>
      <c r="DJ217" s="3"/>
      <c r="DK217" s="3"/>
      <c r="DL217" s="3"/>
      <c r="DM217" s="3"/>
      <c r="DN217" s="3"/>
      <c r="DO217" s="3"/>
      <c r="DP217" s="3"/>
      <c r="DQ217" s="3"/>
      <c r="DR217" s="1"/>
      <c r="DS217" s="3"/>
      <c r="DT217" s="3"/>
      <c r="DU217" s="3"/>
      <c r="DV217" s="3"/>
      <c r="DW217" s="3"/>
      <c r="DX217" s="3"/>
      <c r="DY217" s="3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3"/>
      <c r="EK217" s="3"/>
      <c r="EL217" s="3"/>
      <c r="EM217" s="3"/>
      <c r="EN217" s="3"/>
      <c r="EO217" s="3"/>
      <c r="EP217" s="3"/>
      <c r="EQ217" s="3"/>
      <c r="ER217" s="1"/>
      <c r="ES217" s="3"/>
      <c r="ET217" s="1"/>
      <c r="EU217" s="1"/>
      <c r="EV217" s="1"/>
      <c r="EW217" s="1"/>
      <c r="EX217" s="1"/>
      <c r="EY217" s="1"/>
      <c r="EZ217" s="1"/>
      <c r="FA217" s="1"/>
      <c r="FB217" s="3"/>
      <c r="FC217" s="1"/>
      <c r="FD217" s="1"/>
      <c r="FE217" s="1"/>
      <c r="FF217" s="1"/>
      <c r="FG217" s="1"/>
      <c r="FH217" s="1"/>
      <c r="FI217" s="1"/>
      <c r="FJ217" s="1"/>
      <c r="FK217" s="3"/>
      <c r="FL217" s="1"/>
      <c r="FM217" s="1"/>
      <c r="FN217" s="1"/>
      <c r="FO217" s="1"/>
      <c r="FP217" s="1"/>
      <c r="FQ217" s="1"/>
      <c r="FR217" s="1"/>
      <c r="FS217" s="1"/>
      <c r="FT217" s="3"/>
      <c r="FU217" s="3"/>
      <c r="FV217" s="3"/>
      <c r="FW217" s="3"/>
      <c r="FX217" s="3"/>
      <c r="FY217" s="3"/>
      <c r="FZ217" s="3"/>
      <c r="GA217" s="1"/>
      <c r="GB217" s="3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20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3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</row>
    <row r="218" spans="1:33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S218" s="1"/>
      <c r="AT218" s="1"/>
      <c r="AU218" s="1"/>
      <c r="AV218" s="1"/>
      <c r="AW218" s="1"/>
      <c r="AZ218" s="1"/>
      <c r="BA218" s="1"/>
      <c r="BB218" s="1"/>
      <c r="BC218" s="1"/>
      <c r="BD218" s="1"/>
      <c r="BE218" s="1"/>
      <c r="BH218" s="1"/>
      <c r="BI218" s="1"/>
      <c r="BJ218" s="1"/>
      <c r="BK218" s="1"/>
      <c r="BL218" s="1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1"/>
      <c r="CQ218" s="3"/>
      <c r="CR218" s="3"/>
      <c r="CS218" s="3"/>
      <c r="CT218" s="3"/>
      <c r="CU218" s="3"/>
      <c r="CV218" s="3"/>
      <c r="CW218" s="3"/>
      <c r="CX218" s="3"/>
      <c r="CY218" s="1"/>
      <c r="CZ218" s="3"/>
      <c r="DA218" s="1"/>
      <c r="DB218" s="1"/>
      <c r="DC218" s="1"/>
      <c r="DD218" s="1"/>
      <c r="DE218" s="1"/>
      <c r="DF218" s="1"/>
      <c r="DG218" s="1"/>
      <c r="DH218" s="1"/>
      <c r="DI218" s="3"/>
      <c r="DJ218" s="3"/>
      <c r="DK218" s="3"/>
      <c r="DL218" s="3"/>
      <c r="DM218" s="3"/>
      <c r="DN218" s="3"/>
      <c r="DO218" s="3"/>
      <c r="DP218" s="3"/>
      <c r="DQ218" s="3"/>
      <c r="DR218" s="1"/>
      <c r="DS218" s="3"/>
      <c r="DT218" s="3"/>
      <c r="DU218" s="3"/>
      <c r="DV218" s="3"/>
      <c r="DW218" s="3"/>
      <c r="DX218" s="3"/>
      <c r="DY218" s="3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3"/>
      <c r="EK218" s="3"/>
      <c r="EL218" s="3"/>
      <c r="EM218" s="3"/>
      <c r="EN218" s="3"/>
      <c r="EO218" s="3"/>
      <c r="EP218" s="3"/>
      <c r="EQ218" s="3"/>
      <c r="ER218" s="1"/>
      <c r="ES218" s="3"/>
      <c r="ET218" s="1"/>
      <c r="EU218" s="1"/>
      <c r="EV218" s="1"/>
      <c r="EW218" s="1"/>
      <c r="EX218" s="1"/>
      <c r="EY218" s="1"/>
      <c r="EZ218" s="1"/>
      <c r="FA218" s="1"/>
      <c r="FB218" s="3"/>
      <c r="FC218" s="1"/>
      <c r="FD218" s="1"/>
      <c r="FE218" s="1"/>
      <c r="FF218" s="1"/>
      <c r="FG218" s="1"/>
      <c r="FH218" s="1"/>
      <c r="FI218" s="1"/>
      <c r="FJ218" s="1"/>
      <c r="FK218" s="3"/>
      <c r="FL218" s="1"/>
      <c r="FM218" s="1"/>
      <c r="FN218" s="1"/>
      <c r="FO218" s="1"/>
      <c r="FP218" s="1"/>
      <c r="FQ218" s="1"/>
      <c r="FR218" s="1"/>
      <c r="FS218" s="1"/>
      <c r="FT218" s="3"/>
      <c r="FU218" s="3"/>
      <c r="FV218" s="3"/>
      <c r="FW218" s="3"/>
      <c r="FX218" s="3"/>
      <c r="FY218" s="3"/>
      <c r="FZ218" s="3"/>
      <c r="GA218" s="1"/>
      <c r="GB218" s="3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20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3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</row>
    <row r="219" spans="1:33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S219" s="1"/>
      <c r="AT219" s="1"/>
      <c r="AU219" s="1"/>
      <c r="AV219" s="1"/>
      <c r="AW219" s="1"/>
      <c r="AZ219" s="1"/>
      <c r="BA219" s="1"/>
      <c r="BB219" s="1"/>
      <c r="BC219" s="1"/>
      <c r="BD219" s="1"/>
      <c r="BE219" s="1"/>
      <c r="BH219" s="1"/>
      <c r="BI219" s="1"/>
      <c r="BJ219" s="1"/>
      <c r="BK219" s="1"/>
      <c r="BL219" s="1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1"/>
      <c r="CQ219" s="3"/>
      <c r="CR219" s="3"/>
      <c r="CS219" s="3"/>
      <c r="CT219" s="3"/>
      <c r="CU219" s="3"/>
      <c r="CV219" s="3"/>
      <c r="CW219" s="3"/>
      <c r="CX219" s="3"/>
      <c r="CY219" s="1"/>
      <c r="CZ219" s="3"/>
      <c r="DA219" s="1"/>
      <c r="DB219" s="1"/>
      <c r="DC219" s="1"/>
      <c r="DD219" s="1"/>
      <c r="DE219" s="1"/>
      <c r="DF219" s="1"/>
      <c r="DG219" s="1"/>
      <c r="DH219" s="1"/>
      <c r="DI219" s="3"/>
      <c r="DJ219" s="3"/>
      <c r="DK219" s="3"/>
      <c r="DL219" s="3"/>
      <c r="DM219" s="3"/>
      <c r="DN219" s="3"/>
      <c r="DO219" s="3"/>
      <c r="DP219" s="3"/>
      <c r="DQ219" s="3"/>
      <c r="DR219" s="1"/>
      <c r="DS219" s="3"/>
      <c r="DT219" s="3"/>
      <c r="DU219" s="3"/>
      <c r="DV219" s="3"/>
      <c r="DW219" s="3"/>
      <c r="DX219" s="3"/>
      <c r="DY219" s="3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3"/>
      <c r="EK219" s="3"/>
      <c r="EL219" s="3"/>
      <c r="EM219" s="3"/>
      <c r="EN219" s="3"/>
      <c r="EO219" s="3"/>
      <c r="EP219" s="3"/>
      <c r="EQ219" s="3"/>
      <c r="ER219" s="1"/>
      <c r="ES219" s="3"/>
      <c r="ET219" s="1"/>
      <c r="EU219" s="1"/>
      <c r="EV219" s="1"/>
      <c r="EW219" s="1"/>
      <c r="EX219" s="1"/>
      <c r="EY219" s="1"/>
      <c r="EZ219" s="1"/>
      <c r="FA219" s="1"/>
      <c r="FB219" s="3"/>
      <c r="FC219" s="1"/>
      <c r="FD219" s="1"/>
      <c r="FE219" s="1"/>
      <c r="FF219" s="1"/>
      <c r="FG219" s="1"/>
      <c r="FH219" s="1"/>
      <c r="FI219" s="1"/>
      <c r="FJ219" s="1"/>
      <c r="FK219" s="3"/>
      <c r="FL219" s="1"/>
      <c r="FM219" s="1"/>
      <c r="FN219" s="1"/>
      <c r="FO219" s="1"/>
      <c r="FP219" s="1"/>
      <c r="FQ219" s="1"/>
      <c r="FR219" s="1"/>
      <c r="FS219" s="1"/>
      <c r="FT219" s="3"/>
      <c r="FU219" s="3"/>
      <c r="FV219" s="3"/>
      <c r="FW219" s="3"/>
      <c r="FX219" s="3"/>
      <c r="FY219" s="3"/>
      <c r="FZ219" s="3"/>
      <c r="GA219" s="1"/>
      <c r="GB219" s="3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20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3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</row>
    <row r="220" spans="1:33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S220" s="1"/>
      <c r="AT220" s="1"/>
      <c r="AU220" s="1"/>
      <c r="AV220" s="1"/>
      <c r="AW220" s="1"/>
      <c r="AZ220" s="1"/>
      <c r="BA220" s="1"/>
      <c r="BB220" s="1"/>
      <c r="BC220" s="1"/>
      <c r="BD220" s="1"/>
      <c r="BE220" s="1"/>
      <c r="BH220" s="1"/>
      <c r="BI220" s="1"/>
      <c r="BJ220" s="1"/>
      <c r="BK220" s="1"/>
      <c r="BL220" s="1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1"/>
      <c r="CQ220" s="3"/>
      <c r="CR220" s="3"/>
      <c r="CS220" s="3"/>
      <c r="CT220" s="3"/>
      <c r="CU220" s="3"/>
      <c r="CV220" s="3"/>
      <c r="CW220" s="3"/>
      <c r="CX220" s="3"/>
      <c r="CY220" s="1"/>
      <c r="CZ220" s="3"/>
      <c r="DA220" s="1"/>
      <c r="DB220" s="1"/>
      <c r="DC220" s="1"/>
      <c r="DD220" s="1"/>
      <c r="DE220" s="1"/>
      <c r="DF220" s="1"/>
      <c r="DG220" s="1"/>
      <c r="DH220" s="1"/>
      <c r="DI220" s="3"/>
      <c r="DJ220" s="3"/>
      <c r="DK220" s="3"/>
      <c r="DL220" s="3"/>
      <c r="DM220" s="3"/>
      <c r="DN220" s="3"/>
      <c r="DO220" s="3"/>
      <c r="DP220" s="3"/>
      <c r="DQ220" s="3"/>
      <c r="DR220" s="1"/>
      <c r="DS220" s="3"/>
      <c r="DT220" s="3"/>
      <c r="DU220" s="3"/>
      <c r="DV220" s="3"/>
      <c r="DW220" s="3"/>
      <c r="DX220" s="3"/>
      <c r="DY220" s="3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3"/>
      <c r="EK220" s="3"/>
      <c r="EL220" s="3"/>
      <c r="EM220" s="3"/>
      <c r="EN220" s="3"/>
      <c r="EO220" s="3"/>
      <c r="EP220" s="3"/>
      <c r="EQ220" s="3"/>
      <c r="ER220" s="1"/>
      <c r="ES220" s="3"/>
      <c r="ET220" s="1"/>
      <c r="EU220" s="1"/>
      <c r="EV220" s="1"/>
      <c r="EW220" s="1"/>
      <c r="EX220" s="1"/>
      <c r="EY220" s="1"/>
      <c r="EZ220" s="1"/>
      <c r="FA220" s="1"/>
      <c r="FB220" s="3"/>
      <c r="FC220" s="1"/>
      <c r="FD220" s="1"/>
      <c r="FE220" s="1"/>
      <c r="FF220" s="1"/>
      <c r="FG220" s="1"/>
      <c r="FH220" s="1"/>
      <c r="FI220" s="1"/>
      <c r="FJ220" s="1"/>
      <c r="FK220" s="3"/>
      <c r="FL220" s="1"/>
      <c r="FM220" s="1"/>
      <c r="FN220" s="1"/>
      <c r="FO220" s="1"/>
      <c r="FP220" s="1"/>
      <c r="FQ220" s="1"/>
      <c r="FR220" s="1"/>
      <c r="FS220" s="1"/>
      <c r="FT220" s="3"/>
      <c r="FU220" s="3"/>
      <c r="FV220" s="3"/>
      <c r="FW220" s="3"/>
      <c r="FX220" s="3"/>
      <c r="FY220" s="3"/>
      <c r="FZ220" s="3"/>
      <c r="GA220" s="1"/>
      <c r="GB220" s="3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20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3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</row>
    <row r="221" spans="1:33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S221" s="1"/>
      <c r="AT221" s="1"/>
      <c r="AU221" s="1"/>
      <c r="AV221" s="1"/>
      <c r="AW221" s="1"/>
      <c r="AZ221" s="1"/>
      <c r="BA221" s="1"/>
      <c r="BB221" s="1"/>
      <c r="BC221" s="1"/>
      <c r="BD221" s="1"/>
      <c r="BE221" s="1"/>
      <c r="BH221" s="1"/>
      <c r="BI221" s="1"/>
      <c r="BJ221" s="1"/>
      <c r="BK221" s="1"/>
      <c r="BL221" s="1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1"/>
      <c r="CQ221" s="3"/>
      <c r="CR221" s="3"/>
      <c r="CS221" s="3"/>
      <c r="CT221" s="3"/>
      <c r="CU221" s="3"/>
      <c r="CV221" s="3"/>
      <c r="CW221" s="3"/>
      <c r="CX221" s="3"/>
      <c r="CY221" s="1"/>
      <c r="CZ221" s="3"/>
      <c r="DA221" s="1"/>
      <c r="DB221" s="1"/>
      <c r="DC221" s="1"/>
      <c r="DD221" s="1"/>
      <c r="DE221" s="1"/>
      <c r="DF221" s="1"/>
      <c r="DG221" s="1"/>
      <c r="DH221" s="1"/>
      <c r="DI221" s="3"/>
      <c r="DJ221" s="3"/>
      <c r="DK221" s="3"/>
      <c r="DL221" s="3"/>
      <c r="DM221" s="3"/>
      <c r="DN221" s="3"/>
      <c r="DO221" s="3"/>
      <c r="DP221" s="3"/>
      <c r="DQ221" s="3"/>
      <c r="DR221" s="1"/>
      <c r="DS221" s="3"/>
      <c r="DT221" s="3"/>
      <c r="DU221" s="3"/>
      <c r="DV221" s="3"/>
      <c r="DW221" s="3"/>
      <c r="DX221" s="3"/>
      <c r="DY221" s="3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3"/>
      <c r="EK221" s="3"/>
      <c r="EL221" s="3"/>
      <c r="EM221" s="3"/>
      <c r="EN221" s="3"/>
      <c r="EO221" s="3"/>
      <c r="EP221" s="3"/>
      <c r="EQ221" s="3"/>
      <c r="ER221" s="1"/>
      <c r="ES221" s="3"/>
      <c r="ET221" s="1"/>
      <c r="EU221" s="1"/>
      <c r="EV221" s="1"/>
      <c r="EW221" s="1"/>
      <c r="EX221" s="1"/>
      <c r="EY221" s="1"/>
      <c r="EZ221" s="1"/>
      <c r="FA221" s="1"/>
      <c r="FB221" s="3"/>
      <c r="FC221" s="1"/>
      <c r="FD221" s="1"/>
      <c r="FE221" s="1"/>
      <c r="FF221" s="1"/>
      <c r="FG221" s="1"/>
      <c r="FH221" s="1"/>
      <c r="FI221" s="1"/>
      <c r="FJ221" s="1"/>
      <c r="FK221" s="3"/>
      <c r="FL221" s="1"/>
      <c r="FM221" s="1"/>
      <c r="FN221" s="1"/>
      <c r="FO221" s="1"/>
      <c r="FP221" s="1"/>
      <c r="FQ221" s="1"/>
      <c r="FR221" s="1"/>
      <c r="FS221" s="1"/>
      <c r="FT221" s="3"/>
      <c r="FU221" s="3"/>
      <c r="FV221" s="3"/>
      <c r="FW221" s="3"/>
      <c r="FX221" s="3"/>
      <c r="FY221" s="3"/>
      <c r="FZ221" s="3"/>
      <c r="GA221" s="1"/>
      <c r="GB221" s="3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20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3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</row>
    <row r="222" spans="1:33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S222" s="1"/>
      <c r="AT222" s="1"/>
      <c r="AU222" s="1"/>
      <c r="AV222" s="1"/>
      <c r="AW222" s="1"/>
      <c r="AZ222" s="1"/>
      <c r="BA222" s="1"/>
      <c r="BB222" s="1"/>
      <c r="BC222" s="1"/>
      <c r="BD222" s="1"/>
      <c r="BE222" s="1"/>
      <c r="BH222" s="1"/>
      <c r="BI222" s="1"/>
      <c r="BJ222" s="1"/>
      <c r="BK222" s="1"/>
      <c r="BL222" s="1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1"/>
      <c r="CQ222" s="3"/>
      <c r="CR222" s="3"/>
      <c r="CS222" s="3"/>
      <c r="CT222" s="3"/>
      <c r="CU222" s="3"/>
      <c r="CV222" s="3"/>
      <c r="CW222" s="3"/>
      <c r="CX222" s="3"/>
      <c r="CY222" s="1"/>
      <c r="CZ222" s="3"/>
      <c r="DA222" s="1"/>
      <c r="DB222" s="1"/>
      <c r="DC222" s="1"/>
      <c r="DD222" s="1"/>
      <c r="DE222" s="1"/>
      <c r="DF222" s="1"/>
      <c r="DG222" s="1"/>
      <c r="DH222" s="1"/>
      <c r="DI222" s="3"/>
      <c r="DJ222" s="3"/>
      <c r="DK222" s="3"/>
      <c r="DL222" s="3"/>
      <c r="DM222" s="3"/>
      <c r="DN222" s="3"/>
      <c r="DO222" s="3"/>
      <c r="DP222" s="3"/>
      <c r="DQ222" s="3"/>
      <c r="DR222" s="1"/>
      <c r="DS222" s="3"/>
      <c r="DT222" s="3"/>
      <c r="DU222" s="3"/>
      <c r="DV222" s="3"/>
      <c r="DW222" s="3"/>
      <c r="DX222" s="3"/>
      <c r="DY222" s="3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3"/>
      <c r="EK222" s="3"/>
      <c r="EL222" s="3"/>
      <c r="EM222" s="3"/>
      <c r="EN222" s="3"/>
      <c r="EO222" s="3"/>
      <c r="EP222" s="3"/>
      <c r="EQ222" s="3"/>
      <c r="ER222" s="1"/>
      <c r="ES222" s="3"/>
      <c r="ET222" s="1"/>
      <c r="EU222" s="1"/>
      <c r="EV222" s="1"/>
      <c r="EW222" s="1"/>
      <c r="EX222" s="1"/>
      <c r="EY222" s="1"/>
      <c r="EZ222" s="1"/>
      <c r="FA222" s="1"/>
      <c r="FB222" s="3"/>
      <c r="FC222" s="1"/>
      <c r="FD222" s="1"/>
      <c r="FE222" s="1"/>
      <c r="FF222" s="1"/>
      <c r="FG222" s="1"/>
      <c r="FH222" s="1"/>
      <c r="FI222" s="1"/>
      <c r="FJ222" s="1"/>
      <c r="FK222" s="3"/>
      <c r="FL222" s="1"/>
      <c r="FM222" s="1"/>
      <c r="FN222" s="1"/>
      <c r="FO222" s="1"/>
      <c r="FP222" s="1"/>
      <c r="FQ222" s="1"/>
      <c r="FR222" s="1"/>
      <c r="FS222" s="1"/>
      <c r="FT222" s="3"/>
      <c r="FU222" s="3"/>
      <c r="FV222" s="3"/>
      <c r="FW222" s="3"/>
      <c r="FX222" s="3"/>
      <c r="FY222" s="3"/>
      <c r="FZ222" s="3"/>
      <c r="GA222" s="1"/>
      <c r="GB222" s="3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20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3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</row>
    <row r="223" spans="1:33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S223" s="1"/>
      <c r="AT223" s="1"/>
      <c r="AU223" s="1"/>
      <c r="AV223" s="1"/>
      <c r="AW223" s="1"/>
      <c r="AZ223" s="1"/>
      <c r="BA223" s="1"/>
      <c r="BB223" s="1"/>
      <c r="BC223" s="1"/>
      <c r="BD223" s="1"/>
      <c r="BE223" s="1"/>
      <c r="BH223" s="1"/>
      <c r="BI223" s="1"/>
      <c r="BJ223" s="1"/>
      <c r="BK223" s="1"/>
      <c r="BL223" s="1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1"/>
      <c r="CQ223" s="3"/>
      <c r="CR223" s="3"/>
      <c r="CS223" s="3"/>
      <c r="CT223" s="3"/>
      <c r="CU223" s="3"/>
      <c r="CV223" s="3"/>
      <c r="CW223" s="3"/>
      <c r="CX223" s="3"/>
      <c r="CY223" s="1"/>
      <c r="CZ223" s="3"/>
      <c r="DA223" s="1"/>
      <c r="DB223" s="1"/>
      <c r="DC223" s="1"/>
      <c r="DD223" s="1"/>
      <c r="DE223" s="1"/>
      <c r="DF223" s="1"/>
      <c r="DG223" s="1"/>
      <c r="DH223" s="1"/>
      <c r="DI223" s="3"/>
      <c r="DJ223" s="3"/>
      <c r="DK223" s="3"/>
      <c r="DL223" s="3"/>
      <c r="DM223" s="3"/>
      <c r="DN223" s="3"/>
      <c r="DO223" s="3"/>
      <c r="DP223" s="3"/>
      <c r="DQ223" s="3"/>
      <c r="DR223" s="1"/>
      <c r="DS223" s="3"/>
      <c r="DT223" s="3"/>
      <c r="DU223" s="3"/>
      <c r="DV223" s="3"/>
      <c r="DW223" s="3"/>
      <c r="DX223" s="3"/>
      <c r="DY223" s="3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3"/>
      <c r="EK223" s="3"/>
      <c r="EL223" s="3"/>
      <c r="EM223" s="3"/>
      <c r="EN223" s="3"/>
      <c r="EO223" s="3"/>
      <c r="EP223" s="3"/>
      <c r="EQ223" s="3"/>
      <c r="ER223" s="1"/>
      <c r="ES223" s="3"/>
      <c r="ET223" s="1"/>
      <c r="EU223" s="1"/>
      <c r="EV223" s="1"/>
      <c r="EW223" s="1"/>
      <c r="EX223" s="1"/>
      <c r="EY223" s="1"/>
      <c r="EZ223" s="1"/>
      <c r="FA223" s="1"/>
      <c r="FB223" s="3"/>
      <c r="FC223" s="1"/>
      <c r="FD223" s="1"/>
      <c r="FE223" s="1"/>
      <c r="FF223" s="1"/>
      <c r="FG223" s="1"/>
      <c r="FH223" s="1"/>
      <c r="FI223" s="1"/>
      <c r="FJ223" s="1"/>
      <c r="FK223" s="3"/>
      <c r="FL223" s="1"/>
      <c r="FM223" s="1"/>
      <c r="FN223" s="1"/>
      <c r="FO223" s="1"/>
      <c r="FP223" s="1"/>
      <c r="FQ223" s="1"/>
      <c r="FR223" s="1"/>
      <c r="FS223" s="1"/>
      <c r="FT223" s="3"/>
      <c r="FU223" s="3"/>
      <c r="FV223" s="3"/>
      <c r="FW223" s="3"/>
      <c r="FX223" s="3"/>
      <c r="FY223" s="3"/>
      <c r="FZ223" s="3"/>
      <c r="GA223" s="1"/>
      <c r="GB223" s="3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20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3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</row>
    <row r="224" spans="1:33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S224" s="1"/>
      <c r="AT224" s="1"/>
      <c r="AU224" s="1"/>
      <c r="AV224" s="1"/>
      <c r="AW224" s="1"/>
      <c r="AZ224" s="1"/>
      <c r="BA224" s="1"/>
      <c r="BB224" s="1"/>
      <c r="BC224" s="1"/>
      <c r="BD224" s="1"/>
      <c r="BE224" s="1"/>
      <c r="BH224" s="1"/>
      <c r="BI224" s="1"/>
      <c r="BJ224" s="1"/>
      <c r="BK224" s="1"/>
      <c r="BL224" s="1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1"/>
      <c r="CQ224" s="3"/>
      <c r="CR224" s="3"/>
      <c r="CS224" s="3"/>
      <c r="CT224" s="3"/>
      <c r="CU224" s="3"/>
      <c r="CV224" s="3"/>
      <c r="CW224" s="3"/>
      <c r="CX224" s="3"/>
      <c r="CY224" s="1"/>
      <c r="CZ224" s="3"/>
      <c r="DA224" s="1"/>
      <c r="DB224" s="1"/>
      <c r="DC224" s="1"/>
      <c r="DD224" s="1"/>
      <c r="DE224" s="1"/>
      <c r="DF224" s="1"/>
      <c r="DG224" s="1"/>
      <c r="DH224" s="1"/>
      <c r="DI224" s="3"/>
      <c r="DJ224" s="3"/>
      <c r="DK224" s="3"/>
      <c r="DL224" s="3"/>
      <c r="DM224" s="3"/>
      <c r="DN224" s="3"/>
      <c r="DO224" s="3"/>
      <c r="DP224" s="3"/>
      <c r="DQ224" s="3"/>
      <c r="DR224" s="1"/>
      <c r="DS224" s="3"/>
      <c r="DT224" s="3"/>
      <c r="DU224" s="3"/>
      <c r="DV224" s="3"/>
      <c r="DW224" s="3"/>
      <c r="DX224" s="3"/>
      <c r="DY224" s="3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3"/>
      <c r="EK224" s="3"/>
      <c r="EL224" s="3"/>
      <c r="EM224" s="3"/>
      <c r="EN224" s="3"/>
      <c r="EO224" s="3"/>
      <c r="EP224" s="3"/>
      <c r="EQ224" s="3"/>
      <c r="ER224" s="1"/>
      <c r="ES224" s="3"/>
      <c r="ET224" s="1"/>
      <c r="EU224" s="1"/>
      <c r="EV224" s="1"/>
      <c r="EW224" s="1"/>
      <c r="EX224" s="1"/>
      <c r="EY224" s="1"/>
      <c r="EZ224" s="1"/>
      <c r="FA224" s="1"/>
      <c r="FB224" s="3"/>
      <c r="FC224" s="1"/>
      <c r="FD224" s="1"/>
      <c r="FE224" s="1"/>
      <c r="FF224" s="1"/>
      <c r="FG224" s="1"/>
      <c r="FH224" s="1"/>
      <c r="FI224" s="1"/>
      <c r="FJ224" s="1"/>
      <c r="FK224" s="3"/>
      <c r="FL224" s="1"/>
      <c r="FM224" s="1"/>
      <c r="FN224" s="1"/>
      <c r="FO224" s="1"/>
      <c r="FP224" s="1"/>
      <c r="FQ224" s="1"/>
      <c r="FR224" s="1"/>
      <c r="FS224" s="1"/>
      <c r="FT224" s="3"/>
      <c r="FU224" s="3"/>
      <c r="FV224" s="3"/>
      <c r="FW224" s="3"/>
      <c r="FX224" s="3"/>
      <c r="FY224" s="3"/>
      <c r="FZ224" s="3"/>
      <c r="GA224" s="1"/>
      <c r="GB224" s="3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20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3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</row>
    <row r="225" spans="1:33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S225" s="1"/>
      <c r="AT225" s="1"/>
      <c r="AU225" s="1"/>
      <c r="AV225" s="1"/>
      <c r="AW225" s="1"/>
      <c r="AZ225" s="1"/>
      <c r="BA225" s="1"/>
      <c r="BB225" s="1"/>
      <c r="BC225" s="1"/>
      <c r="BD225" s="1"/>
      <c r="BE225" s="1"/>
      <c r="BH225" s="1"/>
      <c r="BI225" s="1"/>
      <c r="BJ225" s="1"/>
      <c r="BK225" s="1"/>
      <c r="BL225" s="1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1"/>
      <c r="CQ225" s="3"/>
      <c r="CR225" s="3"/>
      <c r="CS225" s="3"/>
      <c r="CT225" s="3"/>
      <c r="CU225" s="3"/>
      <c r="CV225" s="3"/>
      <c r="CW225" s="3"/>
      <c r="CX225" s="3"/>
      <c r="CY225" s="1"/>
      <c r="CZ225" s="3"/>
      <c r="DA225" s="1"/>
      <c r="DB225" s="1"/>
      <c r="DC225" s="1"/>
      <c r="DD225" s="1"/>
      <c r="DE225" s="1"/>
      <c r="DF225" s="1"/>
      <c r="DG225" s="1"/>
      <c r="DH225" s="1"/>
      <c r="DI225" s="3"/>
      <c r="DJ225" s="3"/>
      <c r="DK225" s="3"/>
      <c r="DL225" s="3"/>
      <c r="DM225" s="3"/>
      <c r="DN225" s="3"/>
      <c r="DO225" s="3"/>
      <c r="DP225" s="3"/>
      <c r="DQ225" s="3"/>
      <c r="DR225" s="1"/>
      <c r="DS225" s="3"/>
      <c r="DT225" s="3"/>
      <c r="DU225" s="3"/>
      <c r="DV225" s="3"/>
      <c r="DW225" s="3"/>
      <c r="DX225" s="3"/>
      <c r="DY225" s="3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3"/>
      <c r="EK225" s="3"/>
      <c r="EL225" s="3"/>
      <c r="EM225" s="3"/>
      <c r="EN225" s="3"/>
      <c r="EO225" s="3"/>
      <c r="EP225" s="3"/>
      <c r="EQ225" s="3"/>
      <c r="ER225" s="1"/>
      <c r="ES225" s="3"/>
      <c r="ET225" s="1"/>
      <c r="EU225" s="1"/>
      <c r="EV225" s="1"/>
      <c r="EW225" s="1"/>
      <c r="EX225" s="1"/>
      <c r="EY225" s="1"/>
      <c r="EZ225" s="1"/>
      <c r="FA225" s="1"/>
      <c r="FB225" s="3"/>
      <c r="FC225" s="1"/>
      <c r="FD225" s="1"/>
      <c r="FE225" s="1"/>
      <c r="FF225" s="1"/>
      <c r="FG225" s="1"/>
      <c r="FH225" s="1"/>
      <c r="FI225" s="1"/>
      <c r="FJ225" s="1"/>
      <c r="FK225" s="3"/>
      <c r="FL225" s="1"/>
      <c r="FM225" s="1"/>
      <c r="FN225" s="1"/>
      <c r="FO225" s="1"/>
      <c r="FP225" s="1"/>
      <c r="FQ225" s="1"/>
      <c r="FR225" s="1"/>
      <c r="FS225" s="1"/>
      <c r="FT225" s="3"/>
      <c r="FU225" s="3"/>
      <c r="FV225" s="3"/>
      <c r="FW225" s="3"/>
      <c r="FX225" s="3"/>
      <c r="FY225" s="3"/>
      <c r="FZ225" s="3"/>
      <c r="GA225" s="1"/>
      <c r="GB225" s="3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20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3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</row>
    <row r="226" spans="1:33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S226" s="1"/>
      <c r="AT226" s="1"/>
      <c r="AU226" s="1"/>
      <c r="AV226" s="1"/>
      <c r="AW226" s="1"/>
      <c r="AZ226" s="1"/>
      <c r="BA226" s="1"/>
      <c r="BB226" s="1"/>
      <c r="BC226" s="1"/>
      <c r="BD226" s="1"/>
      <c r="BE226" s="1"/>
      <c r="BH226" s="1"/>
      <c r="BI226" s="1"/>
      <c r="BJ226" s="1"/>
      <c r="BK226" s="1"/>
      <c r="BL226" s="1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1"/>
      <c r="CQ226" s="3"/>
      <c r="CR226" s="3"/>
      <c r="CS226" s="3"/>
      <c r="CT226" s="3"/>
      <c r="CU226" s="3"/>
      <c r="CV226" s="3"/>
      <c r="CW226" s="3"/>
      <c r="CX226" s="3"/>
      <c r="CY226" s="1"/>
      <c r="CZ226" s="3"/>
      <c r="DA226" s="1"/>
      <c r="DB226" s="1"/>
      <c r="DC226" s="1"/>
      <c r="DD226" s="1"/>
      <c r="DE226" s="1"/>
      <c r="DF226" s="1"/>
      <c r="DG226" s="1"/>
      <c r="DH226" s="1"/>
      <c r="DI226" s="3"/>
      <c r="DJ226" s="3"/>
      <c r="DK226" s="3"/>
      <c r="DL226" s="3"/>
      <c r="DM226" s="3"/>
      <c r="DN226" s="3"/>
      <c r="DO226" s="3"/>
      <c r="DP226" s="3"/>
      <c r="DQ226" s="3"/>
      <c r="DR226" s="1"/>
      <c r="DS226" s="3"/>
      <c r="DT226" s="3"/>
      <c r="DU226" s="3"/>
      <c r="DV226" s="3"/>
      <c r="DW226" s="3"/>
      <c r="DX226" s="3"/>
      <c r="DY226" s="3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3"/>
      <c r="EK226" s="3"/>
      <c r="EL226" s="3"/>
      <c r="EM226" s="3"/>
      <c r="EN226" s="3"/>
      <c r="EO226" s="3"/>
      <c r="EP226" s="3"/>
      <c r="EQ226" s="3"/>
      <c r="ER226" s="1"/>
      <c r="ES226" s="3"/>
      <c r="ET226" s="1"/>
      <c r="EU226" s="1"/>
      <c r="EV226" s="1"/>
      <c r="EW226" s="1"/>
      <c r="EX226" s="1"/>
      <c r="EY226" s="1"/>
      <c r="EZ226" s="1"/>
      <c r="FA226" s="1"/>
      <c r="FB226" s="3"/>
      <c r="FC226" s="1"/>
      <c r="FD226" s="1"/>
      <c r="FE226" s="1"/>
      <c r="FF226" s="1"/>
      <c r="FG226" s="1"/>
      <c r="FH226" s="1"/>
      <c r="FI226" s="1"/>
      <c r="FJ226" s="1"/>
      <c r="FK226" s="3"/>
      <c r="FL226" s="1"/>
      <c r="FM226" s="1"/>
      <c r="FN226" s="1"/>
      <c r="FO226" s="1"/>
      <c r="FP226" s="1"/>
      <c r="FQ226" s="1"/>
      <c r="FR226" s="1"/>
      <c r="FS226" s="1"/>
      <c r="FT226" s="3"/>
      <c r="FU226" s="3"/>
      <c r="FV226" s="3"/>
      <c r="FW226" s="3"/>
      <c r="FX226" s="3"/>
      <c r="FY226" s="3"/>
      <c r="FZ226" s="3"/>
      <c r="GA226" s="1"/>
      <c r="GB226" s="3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20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3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</row>
    <row r="227" spans="1:33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S227" s="1"/>
      <c r="AT227" s="1"/>
      <c r="AU227" s="1"/>
      <c r="AV227" s="1"/>
      <c r="AW227" s="1"/>
      <c r="AZ227" s="1"/>
      <c r="BA227" s="1"/>
      <c r="BB227" s="1"/>
      <c r="BC227" s="1"/>
      <c r="BD227" s="1"/>
      <c r="BE227" s="1"/>
      <c r="BH227" s="1"/>
      <c r="BI227" s="1"/>
      <c r="BJ227" s="1"/>
      <c r="BK227" s="1"/>
      <c r="BL227" s="1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1"/>
      <c r="CQ227" s="3"/>
      <c r="CR227" s="3"/>
      <c r="CS227" s="3"/>
      <c r="CT227" s="3"/>
      <c r="CU227" s="3"/>
      <c r="CV227" s="3"/>
      <c r="CW227" s="3"/>
      <c r="CX227" s="3"/>
      <c r="CY227" s="1"/>
      <c r="CZ227" s="3"/>
      <c r="DA227" s="1"/>
      <c r="DB227" s="1"/>
      <c r="DC227" s="1"/>
      <c r="DD227" s="1"/>
      <c r="DE227" s="1"/>
      <c r="DF227" s="1"/>
      <c r="DG227" s="1"/>
      <c r="DH227" s="1"/>
      <c r="DI227" s="3"/>
      <c r="DJ227" s="3"/>
      <c r="DK227" s="3"/>
      <c r="DL227" s="3"/>
      <c r="DM227" s="3"/>
      <c r="DN227" s="3"/>
      <c r="DO227" s="3"/>
      <c r="DP227" s="3"/>
      <c r="DQ227" s="3"/>
      <c r="DR227" s="1"/>
      <c r="DS227" s="3"/>
      <c r="DT227" s="3"/>
      <c r="DU227" s="3"/>
      <c r="DV227" s="3"/>
      <c r="DW227" s="3"/>
      <c r="DX227" s="3"/>
      <c r="DY227" s="3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3"/>
      <c r="EK227" s="3"/>
      <c r="EL227" s="3"/>
      <c r="EM227" s="3"/>
      <c r="EN227" s="3"/>
      <c r="EO227" s="3"/>
      <c r="EP227" s="3"/>
      <c r="EQ227" s="3"/>
      <c r="ER227" s="1"/>
      <c r="ES227" s="3"/>
      <c r="ET227" s="1"/>
      <c r="EU227" s="1"/>
      <c r="EV227" s="1"/>
      <c r="EW227" s="1"/>
      <c r="EX227" s="1"/>
      <c r="EY227" s="1"/>
      <c r="EZ227" s="1"/>
      <c r="FA227" s="1"/>
      <c r="FB227" s="3"/>
      <c r="FC227" s="1"/>
      <c r="FD227" s="1"/>
      <c r="FE227" s="1"/>
      <c r="FF227" s="1"/>
      <c r="FG227" s="1"/>
      <c r="FH227" s="1"/>
      <c r="FI227" s="1"/>
      <c r="FJ227" s="1"/>
      <c r="FK227" s="3"/>
      <c r="FL227" s="1"/>
      <c r="FM227" s="1"/>
      <c r="FN227" s="1"/>
      <c r="FO227" s="1"/>
      <c r="FP227" s="1"/>
      <c r="FQ227" s="1"/>
      <c r="FR227" s="1"/>
      <c r="FS227" s="1"/>
      <c r="FT227" s="3"/>
      <c r="FU227" s="3"/>
      <c r="FV227" s="3"/>
      <c r="FW227" s="3"/>
      <c r="FX227" s="3"/>
      <c r="FY227" s="3"/>
      <c r="FZ227" s="3"/>
      <c r="GA227" s="1"/>
      <c r="GB227" s="3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20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3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</row>
    <row r="228" spans="1:33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S228" s="1"/>
      <c r="AT228" s="1"/>
      <c r="AU228" s="1"/>
      <c r="AV228" s="1"/>
      <c r="AW228" s="1"/>
      <c r="AZ228" s="1"/>
      <c r="BA228" s="1"/>
      <c r="BB228" s="1"/>
      <c r="BC228" s="1"/>
      <c r="BD228" s="1"/>
      <c r="BE228" s="1"/>
      <c r="BH228" s="1"/>
      <c r="BI228" s="1"/>
      <c r="BJ228" s="1"/>
      <c r="BK228" s="1"/>
      <c r="BL228" s="1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1"/>
      <c r="CQ228" s="3"/>
      <c r="CR228" s="3"/>
      <c r="CS228" s="3"/>
      <c r="CT228" s="3"/>
      <c r="CU228" s="3"/>
      <c r="CV228" s="3"/>
      <c r="CW228" s="3"/>
      <c r="CX228" s="3"/>
      <c r="CY228" s="1"/>
      <c r="CZ228" s="3"/>
      <c r="DA228" s="1"/>
      <c r="DB228" s="1"/>
      <c r="DC228" s="1"/>
      <c r="DD228" s="1"/>
      <c r="DE228" s="1"/>
      <c r="DF228" s="1"/>
      <c r="DG228" s="1"/>
      <c r="DH228" s="1"/>
      <c r="DI228" s="3"/>
      <c r="DJ228" s="3"/>
      <c r="DK228" s="3"/>
      <c r="DL228" s="3"/>
      <c r="DM228" s="3"/>
      <c r="DN228" s="3"/>
      <c r="DO228" s="3"/>
      <c r="DP228" s="3"/>
      <c r="DQ228" s="3"/>
      <c r="DR228" s="1"/>
      <c r="DS228" s="3"/>
      <c r="DT228" s="3"/>
      <c r="DU228" s="3"/>
      <c r="DV228" s="3"/>
      <c r="DW228" s="3"/>
      <c r="DX228" s="3"/>
      <c r="DY228" s="3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3"/>
      <c r="EK228" s="3"/>
      <c r="EL228" s="3"/>
      <c r="EM228" s="3"/>
      <c r="EN228" s="3"/>
      <c r="EO228" s="3"/>
      <c r="EP228" s="3"/>
      <c r="EQ228" s="3"/>
      <c r="ER228" s="1"/>
      <c r="ES228" s="3"/>
      <c r="ET228" s="1"/>
      <c r="EU228" s="1"/>
      <c r="EV228" s="1"/>
      <c r="EW228" s="1"/>
      <c r="EX228" s="1"/>
      <c r="EY228" s="1"/>
      <c r="EZ228" s="1"/>
      <c r="FA228" s="1"/>
      <c r="FB228" s="3"/>
      <c r="FC228" s="1"/>
      <c r="FD228" s="1"/>
      <c r="FE228" s="1"/>
      <c r="FF228" s="1"/>
      <c r="FG228" s="1"/>
      <c r="FH228" s="1"/>
      <c r="FI228" s="1"/>
      <c r="FJ228" s="1"/>
      <c r="FK228" s="3"/>
      <c r="FL228" s="1"/>
      <c r="FM228" s="1"/>
      <c r="FN228" s="1"/>
      <c r="FO228" s="1"/>
      <c r="FP228" s="1"/>
      <c r="FQ228" s="1"/>
      <c r="FR228" s="1"/>
      <c r="FS228" s="1"/>
      <c r="FT228" s="3"/>
      <c r="FU228" s="3"/>
      <c r="FV228" s="3"/>
      <c r="FW228" s="3"/>
      <c r="FX228" s="3"/>
      <c r="FY228" s="3"/>
      <c r="FZ228" s="3"/>
      <c r="GA228" s="1"/>
      <c r="GB228" s="3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20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3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</row>
    <row r="229" spans="1:33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S229" s="1"/>
      <c r="AT229" s="1"/>
      <c r="AU229" s="1"/>
      <c r="AV229" s="1"/>
      <c r="AW229" s="1"/>
      <c r="AZ229" s="1"/>
      <c r="BA229" s="1"/>
      <c r="BB229" s="1"/>
      <c r="BC229" s="1"/>
      <c r="BD229" s="1"/>
      <c r="BE229" s="1"/>
      <c r="BH229" s="1"/>
      <c r="BI229" s="1"/>
      <c r="BJ229" s="1"/>
      <c r="BK229" s="1"/>
      <c r="BL229" s="1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1"/>
      <c r="CQ229" s="3"/>
      <c r="CR229" s="3"/>
      <c r="CS229" s="3"/>
      <c r="CT229" s="3"/>
      <c r="CU229" s="3"/>
      <c r="CV229" s="3"/>
      <c r="CW229" s="3"/>
      <c r="CX229" s="3"/>
      <c r="CY229" s="1"/>
      <c r="CZ229" s="3"/>
      <c r="DA229" s="1"/>
      <c r="DB229" s="1"/>
      <c r="DC229" s="1"/>
      <c r="DD229" s="1"/>
      <c r="DE229" s="1"/>
      <c r="DF229" s="1"/>
      <c r="DG229" s="1"/>
      <c r="DH229" s="1"/>
      <c r="DI229" s="3"/>
      <c r="DJ229" s="3"/>
      <c r="DK229" s="3"/>
      <c r="DL229" s="3"/>
      <c r="DM229" s="3"/>
      <c r="DN229" s="3"/>
      <c r="DO229" s="3"/>
      <c r="DP229" s="3"/>
      <c r="DQ229" s="3"/>
      <c r="DR229" s="1"/>
      <c r="DS229" s="3"/>
      <c r="DT229" s="3"/>
      <c r="DU229" s="3"/>
      <c r="DV229" s="3"/>
      <c r="DW229" s="3"/>
      <c r="DX229" s="3"/>
      <c r="DY229" s="3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3"/>
      <c r="EK229" s="3"/>
      <c r="EL229" s="3"/>
      <c r="EM229" s="3"/>
      <c r="EN229" s="3"/>
      <c r="EO229" s="3"/>
      <c r="EP229" s="3"/>
      <c r="EQ229" s="3"/>
      <c r="ER229" s="1"/>
      <c r="ES229" s="3"/>
      <c r="ET229" s="1"/>
      <c r="EU229" s="1"/>
      <c r="EV229" s="1"/>
      <c r="EW229" s="1"/>
      <c r="EX229" s="1"/>
      <c r="EY229" s="1"/>
      <c r="EZ229" s="1"/>
      <c r="FA229" s="1"/>
      <c r="FB229" s="3"/>
      <c r="FC229" s="1"/>
      <c r="FD229" s="1"/>
      <c r="FE229" s="1"/>
      <c r="FF229" s="1"/>
      <c r="FG229" s="1"/>
      <c r="FH229" s="1"/>
      <c r="FI229" s="1"/>
      <c r="FJ229" s="1"/>
      <c r="FK229" s="3"/>
      <c r="FL229" s="1"/>
      <c r="FM229" s="1"/>
      <c r="FN229" s="1"/>
      <c r="FO229" s="1"/>
      <c r="FP229" s="1"/>
      <c r="FQ229" s="1"/>
      <c r="FR229" s="1"/>
      <c r="FS229" s="1"/>
      <c r="FT229" s="3"/>
      <c r="FU229" s="3"/>
      <c r="FV229" s="3"/>
      <c r="FW229" s="3"/>
      <c r="FX229" s="3"/>
      <c r="FY229" s="3"/>
      <c r="FZ229" s="3"/>
      <c r="GA229" s="1"/>
      <c r="GB229" s="3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20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3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</row>
    <row r="230" spans="1:33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S230" s="1"/>
      <c r="AT230" s="1"/>
      <c r="AU230" s="1"/>
      <c r="AV230" s="1"/>
      <c r="AW230" s="1"/>
      <c r="AZ230" s="1"/>
      <c r="BA230" s="1"/>
      <c r="BB230" s="1"/>
      <c r="BC230" s="1"/>
      <c r="BD230" s="1"/>
      <c r="BE230" s="1"/>
      <c r="BH230" s="1"/>
      <c r="BI230" s="1"/>
      <c r="BJ230" s="1"/>
      <c r="BK230" s="1"/>
      <c r="BL230" s="1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1"/>
      <c r="CQ230" s="3"/>
      <c r="CR230" s="3"/>
      <c r="CS230" s="3"/>
      <c r="CT230" s="3"/>
      <c r="CU230" s="3"/>
      <c r="CV230" s="3"/>
      <c r="CW230" s="3"/>
      <c r="CX230" s="3"/>
      <c r="CY230" s="1"/>
      <c r="CZ230" s="3"/>
      <c r="DA230" s="1"/>
      <c r="DB230" s="1"/>
      <c r="DC230" s="1"/>
      <c r="DD230" s="1"/>
      <c r="DE230" s="1"/>
      <c r="DF230" s="1"/>
      <c r="DG230" s="1"/>
      <c r="DH230" s="1"/>
      <c r="DI230" s="3"/>
      <c r="DJ230" s="3"/>
      <c r="DK230" s="3"/>
      <c r="DL230" s="3"/>
      <c r="DM230" s="3"/>
      <c r="DN230" s="3"/>
      <c r="DO230" s="3"/>
      <c r="DP230" s="3"/>
      <c r="DQ230" s="3"/>
      <c r="DR230" s="1"/>
      <c r="DS230" s="3"/>
      <c r="DT230" s="3"/>
      <c r="DU230" s="3"/>
      <c r="DV230" s="3"/>
      <c r="DW230" s="3"/>
      <c r="DX230" s="3"/>
      <c r="DY230" s="3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3"/>
      <c r="EK230" s="3"/>
      <c r="EL230" s="3"/>
      <c r="EM230" s="3"/>
      <c r="EN230" s="3"/>
      <c r="EO230" s="3"/>
      <c r="EP230" s="3"/>
      <c r="EQ230" s="3"/>
      <c r="ER230" s="1"/>
      <c r="ES230" s="3"/>
      <c r="ET230" s="1"/>
      <c r="EU230" s="1"/>
      <c r="EV230" s="1"/>
      <c r="EW230" s="1"/>
      <c r="EX230" s="1"/>
      <c r="EY230" s="1"/>
      <c r="EZ230" s="1"/>
      <c r="FA230" s="1"/>
      <c r="FB230" s="3"/>
      <c r="FC230" s="1"/>
      <c r="FD230" s="1"/>
      <c r="FE230" s="1"/>
      <c r="FF230" s="1"/>
      <c r="FG230" s="1"/>
      <c r="FH230" s="1"/>
      <c r="FI230" s="1"/>
      <c r="FJ230" s="1"/>
      <c r="FK230" s="3"/>
      <c r="FL230" s="1"/>
      <c r="FM230" s="1"/>
      <c r="FN230" s="1"/>
      <c r="FO230" s="1"/>
      <c r="FP230" s="1"/>
      <c r="FQ230" s="1"/>
      <c r="FR230" s="1"/>
      <c r="FS230" s="1"/>
      <c r="FT230" s="3"/>
      <c r="FU230" s="3"/>
      <c r="FV230" s="3"/>
      <c r="FW230" s="3"/>
      <c r="FX230" s="3"/>
      <c r="FY230" s="3"/>
      <c r="FZ230" s="3"/>
      <c r="GA230" s="1"/>
      <c r="GB230" s="3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20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3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</row>
    <row r="231" spans="1:33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S231" s="1"/>
      <c r="AT231" s="1"/>
      <c r="AU231" s="1"/>
      <c r="AV231" s="1"/>
      <c r="AW231" s="1"/>
      <c r="AZ231" s="1"/>
      <c r="BA231" s="1"/>
      <c r="BB231" s="1"/>
      <c r="BC231" s="1"/>
      <c r="BD231" s="1"/>
      <c r="BE231" s="1"/>
      <c r="BH231" s="1"/>
      <c r="BI231" s="1"/>
      <c r="BJ231" s="1"/>
      <c r="BK231" s="1"/>
      <c r="BL231" s="1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1"/>
      <c r="CQ231" s="3"/>
      <c r="CR231" s="3"/>
      <c r="CS231" s="3"/>
      <c r="CT231" s="3"/>
      <c r="CU231" s="3"/>
      <c r="CV231" s="3"/>
      <c r="CW231" s="3"/>
      <c r="CX231" s="3"/>
      <c r="CY231" s="1"/>
      <c r="CZ231" s="3"/>
      <c r="DA231" s="1"/>
      <c r="DB231" s="1"/>
      <c r="DC231" s="1"/>
      <c r="DD231" s="1"/>
      <c r="DE231" s="1"/>
      <c r="DF231" s="1"/>
      <c r="DG231" s="1"/>
      <c r="DH231" s="1"/>
      <c r="DI231" s="3"/>
      <c r="DJ231" s="3"/>
      <c r="DK231" s="3"/>
      <c r="DL231" s="3"/>
      <c r="DM231" s="3"/>
      <c r="DN231" s="3"/>
      <c r="DO231" s="3"/>
      <c r="DP231" s="3"/>
      <c r="DQ231" s="3"/>
      <c r="DR231" s="1"/>
      <c r="DS231" s="3"/>
      <c r="DT231" s="3"/>
      <c r="DU231" s="3"/>
      <c r="DV231" s="3"/>
      <c r="DW231" s="3"/>
      <c r="DX231" s="3"/>
      <c r="DY231" s="3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3"/>
      <c r="EK231" s="3"/>
      <c r="EL231" s="3"/>
      <c r="EM231" s="3"/>
      <c r="EN231" s="3"/>
      <c r="EO231" s="3"/>
      <c r="EP231" s="3"/>
      <c r="EQ231" s="3"/>
      <c r="ER231" s="1"/>
      <c r="ES231" s="3"/>
      <c r="ET231" s="1"/>
      <c r="EU231" s="1"/>
      <c r="EV231" s="1"/>
      <c r="EW231" s="1"/>
      <c r="EX231" s="1"/>
      <c r="EY231" s="1"/>
      <c r="EZ231" s="1"/>
      <c r="FA231" s="1"/>
      <c r="FB231" s="3"/>
      <c r="FC231" s="1"/>
      <c r="FD231" s="1"/>
      <c r="FE231" s="1"/>
      <c r="FF231" s="1"/>
      <c r="FG231" s="1"/>
      <c r="FH231" s="1"/>
      <c r="FI231" s="1"/>
      <c r="FJ231" s="1"/>
      <c r="FK231" s="3"/>
      <c r="FL231" s="1"/>
      <c r="FM231" s="1"/>
      <c r="FN231" s="1"/>
      <c r="FO231" s="1"/>
      <c r="FP231" s="1"/>
      <c r="FQ231" s="1"/>
      <c r="FR231" s="1"/>
      <c r="FS231" s="1"/>
      <c r="FT231" s="3"/>
      <c r="FU231" s="3"/>
      <c r="FV231" s="3"/>
      <c r="FW231" s="3"/>
      <c r="FX231" s="3"/>
      <c r="FY231" s="3"/>
      <c r="FZ231" s="3"/>
      <c r="GA231" s="1"/>
      <c r="GB231" s="3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20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3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</row>
    <row r="232" spans="1:3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S232" s="1"/>
      <c r="AT232" s="1"/>
      <c r="AU232" s="1"/>
      <c r="AV232" s="1"/>
      <c r="AW232" s="1"/>
      <c r="AZ232" s="1"/>
      <c r="BA232" s="1"/>
      <c r="BB232" s="1"/>
      <c r="BC232" s="1"/>
      <c r="BD232" s="1"/>
      <c r="BE232" s="1"/>
      <c r="BH232" s="1"/>
      <c r="BI232" s="1"/>
      <c r="BJ232" s="1"/>
      <c r="BK232" s="1"/>
      <c r="BL232" s="1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1"/>
      <c r="CQ232" s="3"/>
      <c r="CR232" s="3"/>
      <c r="CS232" s="3"/>
      <c r="CT232" s="3"/>
      <c r="CU232" s="3"/>
      <c r="CV232" s="3"/>
      <c r="CW232" s="3"/>
      <c r="CX232" s="3"/>
      <c r="CY232" s="1"/>
      <c r="CZ232" s="3"/>
      <c r="DA232" s="1"/>
      <c r="DB232" s="1"/>
      <c r="DC232" s="1"/>
      <c r="DD232" s="1"/>
      <c r="DE232" s="1"/>
      <c r="DF232" s="1"/>
      <c r="DG232" s="1"/>
      <c r="DH232" s="1"/>
      <c r="DI232" s="3"/>
      <c r="DJ232" s="3"/>
      <c r="DK232" s="3"/>
      <c r="DL232" s="3"/>
      <c r="DM232" s="3"/>
      <c r="DN232" s="3"/>
      <c r="DO232" s="3"/>
      <c r="DP232" s="3"/>
      <c r="DQ232" s="3"/>
      <c r="DR232" s="1"/>
      <c r="DS232" s="3"/>
      <c r="DT232" s="3"/>
      <c r="DU232" s="3"/>
      <c r="DV232" s="3"/>
      <c r="DW232" s="3"/>
      <c r="DX232" s="3"/>
      <c r="DY232" s="3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3"/>
      <c r="EK232" s="3"/>
      <c r="EL232" s="3"/>
      <c r="EM232" s="3"/>
      <c r="EN232" s="3"/>
      <c r="EO232" s="3"/>
      <c r="EP232" s="3"/>
      <c r="EQ232" s="3"/>
      <c r="ER232" s="1"/>
      <c r="ES232" s="3"/>
      <c r="ET232" s="1"/>
      <c r="EU232" s="1"/>
      <c r="EV232" s="1"/>
      <c r="EW232" s="1"/>
      <c r="EX232" s="1"/>
      <c r="EY232" s="1"/>
      <c r="EZ232" s="1"/>
      <c r="FA232" s="1"/>
      <c r="FB232" s="3"/>
      <c r="FC232" s="1"/>
      <c r="FD232" s="1"/>
      <c r="FE232" s="1"/>
      <c r="FF232" s="1"/>
      <c r="FG232" s="1"/>
      <c r="FH232" s="1"/>
      <c r="FI232" s="1"/>
      <c r="FJ232" s="1"/>
      <c r="FK232" s="3"/>
      <c r="FL232" s="1"/>
      <c r="FM232" s="1"/>
      <c r="FN232" s="1"/>
      <c r="FO232" s="1"/>
      <c r="FP232" s="1"/>
      <c r="FQ232" s="1"/>
      <c r="FR232" s="1"/>
      <c r="FS232" s="1"/>
      <c r="FT232" s="3"/>
      <c r="FU232" s="3"/>
      <c r="FV232" s="3"/>
      <c r="FW232" s="3"/>
      <c r="FX232" s="3"/>
      <c r="FY232" s="3"/>
      <c r="FZ232" s="3"/>
      <c r="GA232" s="1"/>
      <c r="GB232" s="3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20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3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</row>
    <row r="233" spans="1:33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S233" s="1"/>
      <c r="AT233" s="1"/>
      <c r="AU233" s="1"/>
      <c r="AV233" s="1"/>
      <c r="AW233" s="1"/>
      <c r="AZ233" s="1"/>
      <c r="BA233" s="1"/>
      <c r="BB233" s="1"/>
      <c r="BC233" s="1"/>
      <c r="BD233" s="1"/>
      <c r="BE233" s="1"/>
      <c r="BH233" s="1"/>
      <c r="BI233" s="1"/>
      <c r="BJ233" s="1"/>
      <c r="BK233" s="1"/>
      <c r="BL233" s="1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1"/>
      <c r="CQ233" s="3"/>
      <c r="CR233" s="3"/>
      <c r="CS233" s="3"/>
      <c r="CT233" s="3"/>
      <c r="CU233" s="3"/>
      <c r="CV233" s="3"/>
      <c r="CW233" s="3"/>
      <c r="CX233" s="3"/>
      <c r="CY233" s="1"/>
      <c r="CZ233" s="3"/>
      <c r="DA233" s="1"/>
      <c r="DB233" s="1"/>
      <c r="DC233" s="1"/>
      <c r="DD233" s="1"/>
      <c r="DE233" s="1"/>
      <c r="DF233" s="1"/>
      <c r="DG233" s="1"/>
      <c r="DH233" s="1"/>
      <c r="DI233" s="3"/>
      <c r="DJ233" s="3"/>
      <c r="DK233" s="3"/>
      <c r="DL233" s="3"/>
      <c r="DM233" s="3"/>
      <c r="DN233" s="3"/>
      <c r="DO233" s="3"/>
      <c r="DP233" s="3"/>
      <c r="DQ233" s="3"/>
      <c r="DR233" s="1"/>
      <c r="DS233" s="3"/>
      <c r="DT233" s="3"/>
      <c r="DU233" s="3"/>
      <c r="DV233" s="3"/>
      <c r="DW233" s="3"/>
      <c r="DX233" s="3"/>
      <c r="DY233" s="3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3"/>
      <c r="EK233" s="3"/>
      <c r="EL233" s="3"/>
      <c r="EM233" s="3"/>
      <c r="EN233" s="3"/>
      <c r="EO233" s="3"/>
      <c r="EP233" s="3"/>
      <c r="EQ233" s="3"/>
      <c r="ER233" s="1"/>
      <c r="ES233" s="3"/>
      <c r="ET233" s="1"/>
      <c r="EU233" s="1"/>
      <c r="EV233" s="1"/>
      <c r="EW233" s="1"/>
      <c r="EX233" s="1"/>
      <c r="EY233" s="1"/>
      <c r="EZ233" s="1"/>
      <c r="FA233" s="1"/>
      <c r="FB233" s="3"/>
      <c r="FC233" s="1"/>
      <c r="FD233" s="1"/>
      <c r="FE233" s="1"/>
      <c r="FF233" s="1"/>
      <c r="FG233" s="1"/>
      <c r="FH233" s="1"/>
      <c r="FI233" s="1"/>
      <c r="FJ233" s="1"/>
      <c r="FK233" s="3"/>
      <c r="FL233" s="1"/>
      <c r="FM233" s="1"/>
      <c r="FN233" s="1"/>
      <c r="FO233" s="1"/>
      <c r="FP233" s="1"/>
      <c r="FQ233" s="1"/>
      <c r="FR233" s="1"/>
      <c r="FS233" s="1"/>
      <c r="FT233" s="3"/>
      <c r="FU233" s="3"/>
      <c r="FV233" s="3"/>
      <c r="FW233" s="3"/>
      <c r="FX233" s="3"/>
      <c r="FY233" s="3"/>
      <c r="FZ233" s="3"/>
      <c r="GA233" s="1"/>
      <c r="GB233" s="3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20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3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</row>
    <row r="234" spans="1:33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S234" s="1"/>
      <c r="AT234" s="1"/>
      <c r="AU234" s="1"/>
      <c r="AV234" s="1"/>
      <c r="AW234" s="1"/>
      <c r="AZ234" s="1"/>
      <c r="BA234" s="1"/>
      <c r="BB234" s="1"/>
      <c r="BC234" s="1"/>
      <c r="BD234" s="1"/>
      <c r="BE234" s="1"/>
      <c r="BH234" s="1"/>
      <c r="BI234" s="1"/>
      <c r="BJ234" s="1"/>
      <c r="BK234" s="1"/>
      <c r="BL234" s="1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1"/>
      <c r="CQ234" s="3"/>
      <c r="CR234" s="3"/>
      <c r="CS234" s="3"/>
      <c r="CT234" s="3"/>
      <c r="CU234" s="3"/>
      <c r="CV234" s="3"/>
      <c r="CW234" s="3"/>
      <c r="CX234" s="3"/>
      <c r="CY234" s="1"/>
      <c r="CZ234" s="3"/>
      <c r="DA234" s="1"/>
      <c r="DB234" s="1"/>
      <c r="DC234" s="1"/>
      <c r="DD234" s="1"/>
      <c r="DE234" s="1"/>
      <c r="DF234" s="1"/>
      <c r="DG234" s="1"/>
      <c r="DH234" s="1"/>
      <c r="DI234" s="3"/>
      <c r="DJ234" s="3"/>
      <c r="DK234" s="3"/>
      <c r="DL234" s="3"/>
      <c r="DM234" s="3"/>
      <c r="DN234" s="3"/>
      <c r="DO234" s="3"/>
      <c r="DP234" s="3"/>
      <c r="DQ234" s="3"/>
      <c r="DR234" s="1"/>
      <c r="DS234" s="3"/>
      <c r="DT234" s="3"/>
      <c r="DU234" s="3"/>
      <c r="DV234" s="3"/>
      <c r="DW234" s="3"/>
      <c r="DX234" s="3"/>
      <c r="DY234" s="3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3"/>
      <c r="EK234" s="3"/>
      <c r="EL234" s="3"/>
      <c r="EM234" s="3"/>
      <c r="EN234" s="3"/>
      <c r="EO234" s="3"/>
      <c r="EP234" s="3"/>
      <c r="EQ234" s="3"/>
      <c r="ER234" s="1"/>
      <c r="ES234" s="3"/>
      <c r="ET234" s="1"/>
      <c r="EU234" s="1"/>
      <c r="EV234" s="1"/>
      <c r="EW234" s="1"/>
      <c r="EX234" s="1"/>
      <c r="EY234" s="1"/>
      <c r="EZ234" s="1"/>
      <c r="FA234" s="1"/>
      <c r="FB234" s="3"/>
      <c r="FC234" s="1"/>
      <c r="FD234" s="1"/>
      <c r="FE234" s="1"/>
      <c r="FF234" s="1"/>
      <c r="FG234" s="1"/>
      <c r="FH234" s="1"/>
      <c r="FI234" s="1"/>
      <c r="FJ234" s="1"/>
      <c r="FK234" s="3"/>
      <c r="FL234" s="1"/>
      <c r="FM234" s="1"/>
      <c r="FN234" s="1"/>
      <c r="FO234" s="1"/>
      <c r="FP234" s="1"/>
      <c r="FQ234" s="1"/>
      <c r="FR234" s="1"/>
      <c r="FS234" s="1"/>
      <c r="FT234" s="3"/>
      <c r="FU234" s="3"/>
      <c r="FV234" s="3"/>
      <c r="FW234" s="3"/>
      <c r="FX234" s="3"/>
      <c r="FY234" s="3"/>
      <c r="FZ234" s="3"/>
      <c r="GA234" s="1"/>
      <c r="GB234" s="3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20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3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</row>
    <row r="235" spans="1:33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S235" s="1"/>
      <c r="AT235" s="1"/>
      <c r="AU235" s="1"/>
      <c r="AV235" s="1"/>
      <c r="AW235" s="1"/>
      <c r="AZ235" s="1"/>
      <c r="BA235" s="1"/>
      <c r="BB235" s="1"/>
      <c r="BC235" s="1"/>
      <c r="BD235" s="1"/>
      <c r="BE235" s="1"/>
      <c r="BH235" s="1"/>
      <c r="BI235" s="1"/>
      <c r="BJ235" s="1"/>
      <c r="BK235" s="1"/>
      <c r="BL235" s="1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1"/>
      <c r="CQ235" s="3"/>
      <c r="CR235" s="3"/>
      <c r="CS235" s="3"/>
      <c r="CT235" s="3"/>
      <c r="CU235" s="3"/>
      <c r="CV235" s="3"/>
      <c r="CW235" s="3"/>
      <c r="CX235" s="3"/>
      <c r="CY235" s="1"/>
      <c r="CZ235" s="3"/>
      <c r="DA235" s="1"/>
      <c r="DB235" s="1"/>
      <c r="DC235" s="1"/>
      <c r="DD235" s="1"/>
      <c r="DE235" s="1"/>
      <c r="DF235" s="1"/>
      <c r="DG235" s="1"/>
      <c r="DH235" s="1"/>
      <c r="DI235" s="3"/>
      <c r="DJ235" s="3"/>
      <c r="DK235" s="3"/>
      <c r="DL235" s="3"/>
      <c r="DM235" s="3"/>
      <c r="DN235" s="3"/>
      <c r="DO235" s="3"/>
      <c r="DP235" s="3"/>
      <c r="DQ235" s="3"/>
      <c r="DR235" s="1"/>
      <c r="DS235" s="3"/>
      <c r="DT235" s="3"/>
      <c r="DU235" s="3"/>
      <c r="DV235" s="3"/>
      <c r="DW235" s="3"/>
      <c r="DX235" s="3"/>
      <c r="DY235" s="3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3"/>
      <c r="EK235" s="3"/>
      <c r="EL235" s="3"/>
      <c r="EM235" s="3"/>
      <c r="EN235" s="3"/>
      <c r="EO235" s="3"/>
      <c r="EP235" s="3"/>
      <c r="EQ235" s="3"/>
      <c r="ER235" s="1"/>
      <c r="ES235" s="3"/>
      <c r="ET235" s="1"/>
      <c r="EU235" s="1"/>
      <c r="EV235" s="1"/>
      <c r="EW235" s="1"/>
      <c r="EX235" s="1"/>
      <c r="EY235" s="1"/>
      <c r="EZ235" s="1"/>
      <c r="FA235" s="1"/>
      <c r="FB235" s="3"/>
      <c r="FC235" s="1"/>
      <c r="FD235" s="1"/>
      <c r="FE235" s="1"/>
      <c r="FF235" s="1"/>
      <c r="FG235" s="1"/>
      <c r="FH235" s="1"/>
      <c r="FI235" s="1"/>
      <c r="FJ235" s="1"/>
      <c r="FK235" s="3"/>
      <c r="FL235" s="1"/>
      <c r="FM235" s="1"/>
      <c r="FN235" s="1"/>
      <c r="FO235" s="1"/>
      <c r="FP235" s="1"/>
      <c r="FQ235" s="1"/>
      <c r="FR235" s="1"/>
      <c r="FS235" s="1"/>
      <c r="FT235" s="3"/>
      <c r="FU235" s="3"/>
      <c r="FV235" s="3"/>
      <c r="FW235" s="3"/>
      <c r="FX235" s="3"/>
      <c r="FY235" s="3"/>
      <c r="FZ235" s="3"/>
      <c r="GA235" s="1"/>
      <c r="GB235" s="3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20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3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</row>
    <row r="236" spans="1:33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S236" s="1"/>
      <c r="AT236" s="1"/>
      <c r="AU236" s="1"/>
      <c r="AV236" s="1"/>
      <c r="AW236" s="1"/>
      <c r="AZ236" s="1"/>
      <c r="BA236" s="1"/>
      <c r="BB236" s="1"/>
      <c r="BC236" s="1"/>
      <c r="BD236" s="1"/>
      <c r="BE236" s="1"/>
      <c r="BH236" s="1"/>
      <c r="BI236" s="1"/>
      <c r="BJ236" s="1"/>
      <c r="BK236" s="1"/>
      <c r="BL236" s="1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1"/>
      <c r="CQ236" s="3"/>
      <c r="CR236" s="3"/>
      <c r="CS236" s="3"/>
      <c r="CT236" s="3"/>
      <c r="CU236" s="3"/>
      <c r="CV236" s="3"/>
      <c r="CW236" s="3"/>
      <c r="CX236" s="3"/>
      <c r="CY236" s="1"/>
      <c r="CZ236" s="3"/>
      <c r="DA236" s="1"/>
      <c r="DB236" s="1"/>
      <c r="DC236" s="1"/>
      <c r="DD236" s="1"/>
      <c r="DE236" s="1"/>
      <c r="DF236" s="1"/>
      <c r="DG236" s="1"/>
      <c r="DH236" s="1"/>
      <c r="DI236" s="3"/>
      <c r="DJ236" s="3"/>
      <c r="DK236" s="3"/>
      <c r="DL236" s="3"/>
      <c r="DM236" s="3"/>
      <c r="DN236" s="3"/>
      <c r="DO236" s="3"/>
      <c r="DP236" s="3"/>
      <c r="DQ236" s="3"/>
      <c r="DR236" s="1"/>
      <c r="DS236" s="3"/>
      <c r="DT236" s="3"/>
      <c r="DU236" s="3"/>
      <c r="DV236" s="3"/>
      <c r="DW236" s="3"/>
      <c r="DX236" s="3"/>
      <c r="DY236" s="3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3"/>
      <c r="EK236" s="3"/>
      <c r="EL236" s="3"/>
      <c r="EM236" s="3"/>
      <c r="EN236" s="3"/>
      <c r="EO236" s="3"/>
      <c r="EP236" s="3"/>
      <c r="EQ236" s="3"/>
      <c r="ER236" s="1"/>
      <c r="ES236" s="3"/>
      <c r="ET236" s="1"/>
      <c r="EU236" s="1"/>
      <c r="EV236" s="1"/>
      <c r="EW236" s="1"/>
      <c r="EX236" s="1"/>
      <c r="EY236" s="1"/>
      <c r="EZ236" s="1"/>
      <c r="FA236" s="1"/>
      <c r="FB236" s="3"/>
      <c r="FC236" s="1"/>
      <c r="FD236" s="1"/>
      <c r="FE236" s="1"/>
      <c r="FF236" s="1"/>
      <c r="FG236" s="1"/>
      <c r="FH236" s="1"/>
      <c r="FI236" s="1"/>
      <c r="FJ236" s="1"/>
      <c r="FK236" s="3"/>
      <c r="FL236" s="1"/>
      <c r="FM236" s="1"/>
      <c r="FN236" s="1"/>
      <c r="FO236" s="1"/>
      <c r="FP236" s="1"/>
      <c r="FQ236" s="1"/>
      <c r="FR236" s="1"/>
      <c r="FS236" s="1"/>
      <c r="FT236" s="3"/>
      <c r="FU236" s="3"/>
      <c r="FV236" s="3"/>
      <c r="FW236" s="3"/>
      <c r="FX236" s="3"/>
      <c r="FY236" s="3"/>
      <c r="FZ236" s="3"/>
      <c r="GA236" s="1"/>
      <c r="GB236" s="3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20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3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</row>
    <row r="237" spans="1:33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S237" s="1"/>
      <c r="AT237" s="1"/>
      <c r="AU237" s="1"/>
      <c r="AV237" s="1"/>
      <c r="AW237" s="1"/>
      <c r="AZ237" s="1"/>
      <c r="BA237" s="1"/>
      <c r="BB237" s="1"/>
      <c r="BC237" s="1"/>
      <c r="BD237" s="1"/>
      <c r="BE237" s="1"/>
      <c r="BH237" s="1"/>
      <c r="BI237" s="1"/>
      <c r="BJ237" s="1"/>
      <c r="BK237" s="1"/>
      <c r="BL237" s="1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1"/>
      <c r="CQ237" s="3"/>
      <c r="CR237" s="3"/>
      <c r="CS237" s="3"/>
      <c r="CT237" s="3"/>
      <c r="CU237" s="3"/>
      <c r="CV237" s="3"/>
      <c r="CW237" s="3"/>
      <c r="CX237" s="3"/>
      <c r="CY237" s="1"/>
      <c r="CZ237" s="3"/>
      <c r="DA237" s="1"/>
      <c r="DB237" s="1"/>
      <c r="DC237" s="1"/>
      <c r="DD237" s="1"/>
      <c r="DE237" s="1"/>
      <c r="DF237" s="1"/>
      <c r="DG237" s="1"/>
      <c r="DH237" s="1"/>
      <c r="DI237" s="3"/>
      <c r="DJ237" s="3"/>
      <c r="DK237" s="3"/>
      <c r="DL237" s="3"/>
      <c r="DM237" s="3"/>
      <c r="DN237" s="3"/>
      <c r="DO237" s="3"/>
      <c r="DP237" s="3"/>
      <c r="DQ237" s="3"/>
      <c r="DR237" s="1"/>
      <c r="DS237" s="3"/>
      <c r="DT237" s="3"/>
      <c r="DU237" s="3"/>
      <c r="DV237" s="3"/>
      <c r="DW237" s="3"/>
      <c r="DX237" s="3"/>
      <c r="DY237" s="3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3"/>
      <c r="EK237" s="3"/>
      <c r="EL237" s="3"/>
      <c r="EM237" s="3"/>
      <c r="EN237" s="3"/>
      <c r="EO237" s="3"/>
      <c r="EP237" s="3"/>
      <c r="EQ237" s="3"/>
      <c r="ER237" s="1"/>
      <c r="ES237" s="3"/>
      <c r="ET237" s="1"/>
      <c r="EU237" s="1"/>
      <c r="EV237" s="1"/>
      <c r="EW237" s="1"/>
      <c r="EX237" s="1"/>
      <c r="EY237" s="1"/>
      <c r="EZ237" s="1"/>
      <c r="FA237" s="1"/>
      <c r="FB237" s="3"/>
      <c r="FC237" s="1"/>
      <c r="FD237" s="1"/>
      <c r="FE237" s="1"/>
      <c r="FF237" s="1"/>
      <c r="FG237" s="1"/>
      <c r="FH237" s="1"/>
      <c r="FI237" s="1"/>
      <c r="FJ237" s="1"/>
      <c r="FK237" s="3"/>
      <c r="FL237" s="1"/>
      <c r="FM237" s="1"/>
      <c r="FN237" s="1"/>
      <c r="FO237" s="1"/>
      <c r="FP237" s="1"/>
      <c r="FQ237" s="1"/>
      <c r="FR237" s="1"/>
      <c r="FS237" s="1"/>
      <c r="FT237" s="3"/>
      <c r="FU237" s="3"/>
      <c r="FV237" s="3"/>
      <c r="FW237" s="3"/>
      <c r="FX237" s="3"/>
      <c r="FY237" s="3"/>
      <c r="FZ237" s="3"/>
      <c r="GA237" s="1"/>
      <c r="GB237" s="3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20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3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</row>
    <row r="238" spans="1:33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S238" s="1"/>
      <c r="AT238" s="1"/>
      <c r="AU238" s="1"/>
      <c r="AV238" s="1"/>
      <c r="AW238" s="1"/>
      <c r="AZ238" s="1"/>
      <c r="BA238" s="1"/>
      <c r="BB238" s="1"/>
      <c r="BC238" s="1"/>
      <c r="BD238" s="1"/>
      <c r="BE238" s="1"/>
      <c r="BH238" s="1"/>
      <c r="BI238" s="1"/>
      <c r="BJ238" s="1"/>
      <c r="BK238" s="1"/>
      <c r="BL238" s="1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1"/>
      <c r="CQ238" s="3"/>
      <c r="CR238" s="3"/>
      <c r="CS238" s="3"/>
      <c r="CT238" s="3"/>
      <c r="CU238" s="3"/>
      <c r="CV238" s="3"/>
      <c r="CW238" s="3"/>
      <c r="CX238" s="3"/>
      <c r="CY238" s="1"/>
      <c r="CZ238" s="3"/>
      <c r="DA238" s="1"/>
      <c r="DB238" s="1"/>
      <c r="DC238" s="1"/>
      <c r="DD238" s="1"/>
      <c r="DE238" s="1"/>
      <c r="DF238" s="1"/>
      <c r="DG238" s="1"/>
      <c r="DH238" s="1"/>
      <c r="DI238" s="3"/>
      <c r="DJ238" s="3"/>
      <c r="DK238" s="3"/>
      <c r="DL238" s="3"/>
      <c r="DM238" s="3"/>
      <c r="DN238" s="3"/>
      <c r="DO238" s="3"/>
      <c r="DP238" s="3"/>
      <c r="DQ238" s="3"/>
      <c r="DR238" s="1"/>
      <c r="DS238" s="3"/>
      <c r="DT238" s="3"/>
      <c r="DU238" s="3"/>
      <c r="DV238" s="3"/>
      <c r="DW238" s="3"/>
      <c r="DX238" s="3"/>
      <c r="DY238" s="3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3"/>
      <c r="EK238" s="3"/>
      <c r="EL238" s="3"/>
      <c r="EM238" s="3"/>
      <c r="EN238" s="3"/>
      <c r="EO238" s="3"/>
      <c r="EP238" s="3"/>
      <c r="EQ238" s="3"/>
      <c r="ER238" s="1"/>
      <c r="ES238" s="3"/>
      <c r="ET238" s="1"/>
      <c r="EU238" s="1"/>
      <c r="EV238" s="1"/>
      <c r="EW238" s="1"/>
      <c r="EX238" s="1"/>
      <c r="EY238" s="1"/>
      <c r="EZ238" s="1"/>
      <c r="FA238" s="1"/>
      <c r="FB238" s="3"/>
      <c r="FC238" s="1"/>
      <c r="FD238" s="1"/>
      <c r="FE238" s="1"/>
      <c r="FF238" s="1"/>
      <c r="FG238" s="1"/>
      <c r="FH238" s="1"/>
      <c r="FI238" s="1"/>
      <c r="FJ238" s="1"/>
      <c r="FK238" s="3"/>
      <c r="FL238" s="1"/>
      <c r="FM238" s="1"/>
      <c r="FN238" s="1"/>
      <c r="FO238" s="1"/>
      <c r="FP238" s="1"/>
      <c r="FQ238" s="1"/>
      <c r="FR238" s="1"/>
      <c r="FS238" s="1"/>
      <c r="FT238" s="3"/>
      <c r="FU238" s="3"/>
      <c r="FV238" s="3"/>
      <c r="FW238" s="3"/>
      <c r="FX238" s="3"/>
      <c r="FY238" s="3"/>
      <c r="FZ238" s="3"/>
      <c r="GA238" s="1"/>
      <c r="GB238" s="3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20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3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</row>
    <row r="239" spans="1:33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S239" s="1"/>
      <c r="AT239" s="1"/>
      <c r="AU239" s="1"/>
      <c r="AV239" s="1"/>
      <c r="AW239" s="1"/>
      <c r="AZ239" s="1"/>
      <c r="BA239" s="1"/>
      <c r="BB239" s="1"/>
      <c r="BC239" s="1"/>
      <c r="BD239" s="1"/>
      <c r="BE239" s="1"/>
      <c r="BH239" s="1"/>
      <c r="BI239" s="1"/>
      <c r="BJ239" s="1"/>
      <c r="BK239" s="1"/>
      <c r="BL239" s="1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1"/>
      <c r="CQ239" s="3"/>
      <c r="CR239" s="3"/>
      <c r="CS239" s="3"/>
      <c r="CT239" s="3"/>
      <c r="CU239" s="3"/>
      <c r="CV239" s="3"/>
      <c r="CW239" s="3"/>
      <c r="CX239" s="3"/>
      <c r="CY239" s="1"/>
      <c r="CZ239" s="3"/>
      <c r="DA239" s="1"/>
      <c r="DB239" s="1"/>
      <c r="DC239" s="1"/>
      <c r="DD239" s="1"/>
      <c r="DE239" s="1"/>
      <c r="DF239" s="1"/>
      <c r="DG239" s="1"/>
      <c r="DH239" s="1"/>
      <c r="DI239" s="3"/>
      <c r="DJ239" s="3"/>
      <c r="DK239" s="3"/>
      <c r="DL239" s="3"/>
      <c r="DM239" s="3"/>
      <c r="DN239" s="3"/>
      <c r="DO239" s="3"/>
      <c r="DP239" s="3"/>
      <c r="DQ239" s="3"/>
      <c r="DR239" s="1"/>
      <c r="DS239" s="3"/>
      <c r="DT239" s="3"/>
      <c r="DU239" s="3"/>
      <c r="DV239" s="3"/>
      <c r="DW239" s="3"/>
      <c r="DX239" s="3"/>
      <c r="DY239" s="3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3"/>
      <c r="EK239" s="3"/>
      <c r="EL239" s="3"/>
      <c r="EM239" s="3"/>
      <c r="EN239" s="3"/>
      <c r="EO239" s="3"/>
      <c r="EP239" s="3"/>
      <c r="EQ239" s="3"/>
      <c r="ER239" s="1"/>
      <c r="ES239" s="3"/>
      <c r="ET239" s="1"/>
      <c r="EU239" s="1"/>
      <c r="EV239" s="1"/>
      <c r="EW239" s="1"/>
      <c r="EX239" s="1"/>
      <c r="EY239" s="1"/>
      <c r="EZ239" s="1"/>
      <c r="FA239" s="1"/>
      <c r="FB239" s="3"/>
      <c r="FC239" s="1"/>
      <c r="FD239" s="1"/>
      <c r="FE239" s="1"/>
      <c r="FF239" s="1"/>
      <c r="FG239" s="1"/>
      <c r="FH239" s="1"/>
      <c r="FI239" s="1"/>
      <c r="FJ239" s="1"/>
      <c r="FK239" s="3"/>
      <c r="FL239" s="1"/>
      <c r="FM239" s="1"/>
      <c r="FN239" s="1"/>
      <c r="FO239" s="1"/>
      <c r="FP239" s="1"/>
      <c r="FQ239" s="1"/>
      <c r="FR239" s="1"/>
      <c r="FS239" s="1"/>
      <c r="FT239" s="3"/>
      <c r="FU239" s="3"/>
      <c r="FV239" s="3"/>
      <c r="FW239" s="3"/>
      <c r="FX239" s="3"/>
      <c r="FY239" s="3"/>
      <c r="FZ239" s="3"/>
      <c r="GA239" s="1"/>
      <c r="GB239" s="3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20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3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</row>
    <row r="240" spans="1:33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S240" s="1"/>
      <c r="AT240" s="1"/>
      <c r="AU240" s="1"/>
      <c r="AV240" s="1"/>
      <c r="AW240" s="1"/>
      <c r="AZ240" s="1"/>
      <c r="BA240" s="1"/>
      <c r="BB240" s="1"/>
      <c r="BC240" s="1"/>
      <c r="BD240" s="1"/>
      <c r="BE240" s="1"/>
      <c r="BH240" s="1"/>
      <c r="BI240" s="1"/>
      <c r="BJ240" s="1"/>
      <c r="BK240" s="1"/>
      <c r="BL240" s="1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1"/>
      <c r="CQ240" s="3"/>
      <c r="CR240" s="3"/>
      <c r="CS240" s="3"/>
      <c r="CT240" s="3"/>
      <c r="CU240" s="3"/>
      <c r="CV240" s="3"/>
      <c r="CW240" s="3"/>
      <c r="CX240" s="3"/>
      <c r="CY240" s="1"/>
      <c r="CZ240" s="3"/>
      <c r="DA240" s="1"/>
      <c r="DB240" s="1"/>
      <c r="DC240" s="1"/>
      <c r="DD240" s="1"/>
      <c r="DE240" s="1"/>
      <c r="DF240" s="1"/>
      <c r="DG240" s="1"/>
      <c r="DH240" s="1"/>
      <c r="DI240" s="3"/>
      <c r="DJ240" s="3"/>
      <c r="DK240" s="3"/>
      <c r="DL240" s="3"/>
      <c r="DM240" s="3"/>
      <c r="DN240" s="3"/>
      <c r="DO240" s="3"/>
      <c r="DP240" s="3"/>
      <c r="DQ240" s="3"/>
      <c r="DR240" s="1"/>
      <c r="DS240" s="3"/>
      <c r="DT240" s="3"/>
      <c r="DU240" s="3"/>
      <c r="DV240" s="3"/>
      <c r="DW240" s="3"/>
      <c r="DX240" s="3"/>
      <c r="DY240" s="3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3"/>
      <c r="EK240" s="3"/>
      <c r="EL240" s="3"/>
      <c r="EM240" s="3"/>
      <c r="EN240" s="3"/>
      <c r="EO240" s="3"/>
      <c r="EP240" s="3"/>
      <c r="EQ240" s="3"/>
      <c r="ER240" s="1"/>
      <c r="ES240" s="3"/>
      <c r="ET240" s="1"/>
      <c r="EU240" s="1"/>
      <c r="EV240" s="1"/>
      <c r="EW240" s="1"/>
      <c r="EX240" s="1"/>
      <c r="EY240" s="1"/>
      <c r="EZ240" s="1"/>
      <c r="FA240" s="1"/>
      <c r="FB240" s="3"/>
      <c r="FC240" s="1"/>
      <c r="FD240" s="1"/>
      <c r="FE240" s="1"/>
      <c r="FF240" s="1"/>
      <c r="FG240" s="1"/>
      <c r="FH240" s="1"/>
      <c r="FI240" s="1"/>
      <c r="FJ240" s="1"/>
      <c r="FK240" s="3"/>
      <c r="FL240" s="1"/>
      <c r="FM240" s="1"/>
      <c r="FN240" s="1"/>
      <c r="FO240" s="1"/>
      <c r="FP240" s="1"/>
      <c r="FQ240" s="1"/>
      <c r="FR240" s="1"/>
      <c r="FS240" s="1"/>
      <c r="FT240" s="3"/>
      <c r="FU240" s="3"/>
      <c r="FV240" s="3"/>
      <c r="FW240" s="3"/>
      <c r="FX240" s="3"/>
      <c r="FY240" s="3"/>
      <c r="FZ240" s="3"/>
      <c r="GA240" s="1"/>
      <c r="GB240" s="3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20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3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</row>
    <row r="241" spans="1:33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S241" s="1"/>
      <c r="AT241" s="1"/>
      <c r="AU241" s="1"/>
      <c r="AV241" s="1"/>
      <c r="AW241" s="1"/>
      <c r="AZ241" s="1"/>
      <c r="BA241" s="1"/>
      <c r="BB241" s="1"/>
      <c r="BC241" s="1"/>
      <c r="BD241" s="1"/>
      <c r="BE241" s="1"/>
      <c r="BH241" s="1"/>
      <c r="BI241" s="1"/>
      <c r="BJ241" s="1"/>
      <c r="BK241" s="1"/>
      <c r="BL241" s="1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1"/>
      <c r="CQ241" s="3"/>
      <c r="CR241" s="3"/>
      <c r="CS241" s="3"/>
      <c r="CT241" s="3"/>
      <c r="CU241" s="3"/>
      <c r="CV241" s="3"/>
      <c r="CW241" s="3"/>
      <c r="CX241" s="3"/>
      <c r="CY241" s="1"/>
      <c r="CZ241" s="3"/>
      <c r="DA241" s="1"/>
      <c r="DB241" s="1"/>
      <c r="DC241" s="1"/>
      <c r="DD241" s="1"/>
      <c r="DE241" s="1"/>
      <c r="DF241" s="1"/>
      <c r="DG241" s="1"/>
      <c r="DH241" s="1"/>
      <c r="DI241" s="3"/>
      <c r="DJ241" s="3"/>
      <c r="DK241" s="3"/>
      <c r="DL241" s="3"/>
      <c r="DM241" s="3"/>
      <c r="DN241" s="3"/>
      <c r="DO241" s="3"/>
      <c r="DP241" s="3"/>
      <c r="DQ241" s="3"/>
      <c r="DR241" s="1"/>
      <c r="DS241" s="3"/>
      <c r="DT241" s="3"/>
      <c r="DU241" s="3"/>
      <c r="DV241" s="3"/>
      <c r="DW241" s="3"/>
      <c r="DX241" s="3"/>
      <c r="DY241" s="3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3"/>
      <c r="EK241" s="3"/>
      <c r="EL241" s="3"/>
      <c r="EM241" s="3"/>
      <c r="EN241" s="3"/>
      <c r="EO241" s="3"/>
      <c r="EP241" s="3"/>
      <c r="EQ241" s="3"/>
      <c r="ER241" s="1"/>
      <c r="ES241" s="3"/>
      <c r="ET241" s="1"/>
      <c r="EU241" s="1"/>
      <c r="EV241" s="1"/>
      <c r="EW241" s="1"/>
      <c r="EX241" s="1"/>
      <c r="EY241" s="1"/>
      <c r="EZ241" s="1"/>
      <c r="FA241" s="1"/>
      <c r="FB241" s="3"/>
      <c r="FC241" s="1"/>
      <c r="FD241" s="1"/>
      <c r="FE241" s="1"/>
      <c r="FF241" s="1"/>
      <c r="FG241" s="1"/>
      <c r="FH241" s="1"/>
      <c r="FI241" s="1"/>
      <c r="FJ241" s="1"/>
      <c r="FK241" s="3"/>
      <c r="FL241" s="1"/>
      <c r="FM241" s="1"/>
      <c r="FN241" s="1"/>
      <c r="FO241" s="1"/>
      <c r="FP241" s="1"/>
      <c r="FQ241" s="1"/>
      <c r="FR241" s="1"/>
      <c r="FS241" s="1"/>
      <c r="FT241" s="3"/>
      <c r="FU241" s="3"/>
      <c r="FV241" s="3"/>
      <c r="FW241" s="3"/>
      <c r="FX241" s="3"/>
      <c r="FY241" s="3"/>
      <c r="FZ241" s="3"/>
      <c r="GA241" s="1"/>
      <c r="GB241" s="3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20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3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</row>
    <row r="242" spans="1:33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S242" s="1"/>
      <c r="AT242" s="1"/>
      <c r="AU242" s="1"/>
      <c r="AV242" s="1"/>
      <c r="AW242" s="1"/>
      <c r="AZ242" s="1"/>
      <c r="BA242" s="1"/>
      <c r="BB242" s="1"/>
      <c r="BC242" s="1"/>
      <c r="BD242" s="1"/>
      <c r="BE242" s="1"/>
      <c r="BH242" s="1"/>
      <c r="BI242" s="1"/>
      <c r="BJ242" s="1"/>
      <c r="BK242" s="1"/>
      <c r="BL242" s="1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1"/>
      <c r="CQ242" s="3"/>
      <c r="CR242" s="3"/>
      <c r="CS242" s="3"/>
      <c r="CT242" s="3"/>
      <c r="CU242" s="3"/>
      <c r="CV242" s="3"/>
      <c r="CW242" s="3"/>
      <c r="CX242" s="3"/>
      <c r="CY242" s="1"/>
      <c r="CZ242" s="3"/>
      <c r="DA242" s="1"/>
      <c r="DB242" s="1"/>
      <c r="DC242" s="1"/>
      <c r="DD242" s="1"/>
      <c r="DE242" s="1"/>
      <c r="DF242" s="1"/>
      <c r="DG242" s="1"/>
      <c r="DH242" s="1"/>
      <c r="DI242" s="3"/>
      <c r="DJ242" s="3"/>
      <c r="DK242" s="3"/>
      <c r="DL242" s="3"/>
      <c r="DM242" s="3"/>
      <c r="DN242" s="3"/>
      <c r="DO242" s="3"/>
      <c r="DP242" s="3"/>
      <c r="DQ242" s="3"/>
      <c r="DR242" s="1"/>
      <c r="DS242" s="3"/>
      <c r="DT242" s="3"/>
      <c r="DU242" s="3"/>
      <c r="DV242" s="3"/>
      <c r="DW242" s="3"/>
      <c r="DX242" s="3"/>
      <c r="DY242" s="3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3"/>
      <c r="EK242" s="3"/>
      <c r="EL242" s="3"/>
      <c r="EM242" s="3"/>
      <c r="EN242" s="3"/>
      <c r="EO242" s="3"/>
      <c r="EP242" s="3"/>
      <c r="EQ242" s="3"/>
      <c r="ER242" s="1"/>
      <c r="ES242" s="3"/>
      <c r="ET242" s="1"/>
      <c r="EU242" s="1"/>
      <c r="EV242" s="1"/>
      <c r="EW242" s="1"/>
      <c r="EX242" s="1"/>
      <c r="EY242" s="1"/>
      <c r="EZ242" s="1"/>
      <c r="FA242" s="1"/>
      <c r="FB242" s="3"/>
      <c r="FC242" s="1"/>
      <c r="FD242" s="1"/>
      <c r="FE242" s="1"/>
      <c r="FF242" s="1"/>
      <c r="FG242" s="1"/>
      <c r="FH242" s="1"/>
      <c r="FI242" s="1"/>
      <c r="FJ242" s="1"/>
      <c r="FK242" s="3"/>
      <c r="FL242" s="1"/>
      <c r="FM242" s="1"/>
      <c r="FN242" s="1"/>
      <c r="FO242" s="1"/>
      <c r="FP242" s="1"/>
      <c r="FQ242" s="1"/>
      <c r="FR242" s="1"/>
      <c r="FS242" s="1"/>
      <c r="FT242" s="3"/>
      <c r="FU242" s="3"/>
      <c r="FV242" s="3"/>
      <c r="FW242" s="3"/>
      <c r="FX242" s="3"/>
      <c r="FY242" s="3"/>
      <c r="FZ242" s="3"/>
      <c r="GA242" s="1"/>
      <c r="GB242" s="3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20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3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</row>
    <row r="243" spans="1:33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S243" s="1"/>
      <c r="AT243" s="1"/>
      <c r="AU243" s="1"/>
      <c r="AV243" s="1"/>
      <c r="AW243" s="1"/>
      <c r="AZ243" s="1"/>
      <c r="BA243" s="1"/>
      <c r="BB243" s="1"/>
      <c r="BC243" s="1"/>
      <c r="BD243" s="1"/>
      <c r="BE243" s="1"/>
      <c r="BH243" s="1"/>
      <c r="BI243" s="1"/>
      <c r="BJ243" s="1"/>
      <c r="BK243" s="1"/>
      <c r="BL243" s="1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1"/>
      <c r="CQ243" s="3"/>
      <c r="CR243" s="3"/>
      <c r="CS243" s="3"/>
      <c r="CT243" s="3"/>
      <c r="CU243" s="3"/>
      <c r="CV243" s="3"/>
      <c r="CW243" s="3"/>
      <c r="CX243" s="3"/>
      <c r="CY243" s="1"/>
      <c r="CZ243" s="3"/>
      <c r="DA243" s="1"/>
      <c r="DB243" s="1"/>
      <c r="DC243" s="1"/>
      <c r="DD243" s="1"/>
      <c r="DE243" s="1"/>
      <c r="DF243" s="1"/>
      <c r="DG243" s="1"/>
      <c r="DH243" s="1"/>
      <c r="DI243" s="3"/>
      <c r="DJ243" s="3"/>
      <c r="DK243" s="3"/>
      <c r="DL243" s="3"/>
      <c r="DM243" s="3"/>
      <c r="DN243" s="3"/>
      <c r="DO243" s="3"/>
      <c r="DP243" s="3"/>
      <c r="DQ243" s="3"/>
      <c r="DR243" s="1"/>
      <c r="DS243" s="3"/>
      <c r="DT243" s="3"/>
      <c r="DU243" s="3"/>
      <c r="DV243" s="3"/>
      <c r="DW243" s="3"/>
      <c r="DX243" s="3"/>
      <c r="DY243" s="3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3"/>
      <c r="EK243" s="3"/>
      <c r="EL243" s="3"/>
      <c r="EM243" s="3"/>
      <c r="EN243" s="3"/>
      <c r="EO243" s="3"/>
      <c r="EP243" s="3"/>
      <c r="EQ243" s="3"/>
      <c r="ER243" s="1"/>
      <c r="ES243" s="3"/>
      <c r="ET243" s="1"/>
      <c r="EU243" s="1"/>
      <c r="EV243" s="1"/>
      <c r="EW243" s="1"/>
      <c r="EX243" s="1"/>
      <c r="EY243" s="1"/>
      <c r="EZ243" s="1"/>
      <c r="FA243" s="1"/>
      <c r="FB243" s="3"/>
      <c r="FC243" s="1"/>
      <c r="FD243" s="1"/>
      <c r="FE243" s="1"/>
      <c r="FF243" s="1"/>
      <c r="FG243" s="1"/>
      <c r="FH243" s="1"/>
      <c r="FI243" s="1"/>
      <c r="FJ243" s="1"/>
      <c r="FK243" s="3"/>
      <c r="FL243" s="1"/>
      <c r="FM243" s="1"/>
      <c r="FN243" s="1"/>
      <c r="FO243" s="1"/>
      <c r="FP243" s="1"/>
      <c r="FQ243" s="1"/>
      <c r="FR243" s="1"/>
      <c r="FS243" s="1"/>
      <c r="FT243" s="3"/>
      <c r="FU243" s="3"/>
      <c r="FV243" s="3"/>
      <c r="FW243" s="3"/>
      <c r="FX243" s="3"/>
      <c r="FY243" s="3"/>
      <c r="FZ243" s="3"/>
      <c r="GA243" s="1"/>
      <c r="GB243" s="3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20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3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</row>
    <row r="244" spans="1:33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S244" s="1"/>
      <c r="AT244" s="1"/>
      <c r="AU244" s="1"/>
      <c r="AV244" s="1"/>
      <c r="AW244" s="1"/>
      <c r="AZ244" s="1"/>
      <c r="BA244" s="1"/>
      <c r="BB244" s="1"/>
      <c r="BC244" s="1"/>
      <c r="BD244" s="1"/>
      <c r="BE244" s="1"/>
      <c r="BH244" s="1"/>
      <c r="BI244" s="1"/>
      <c r="BJ244" s="1"/>
      <c r="BK244" s="1"/>
      <c r="BL244" s="1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1"/>
      <c r="CQ244" s="3"/>
      <c r="CR244" s="3"/>
      <c r="CS244" s="3"/>
      <c r="CT244" s="3"/>
      <c r="CU244" s="3"/>
      <c r="CV244" s="3"/>
      <c r="CW244" s="3"/>
      <c r="CX244" s="3"/>
      <c r="CY244" s="1"/>
      <c r="CZ244" s="3"/>
      <c r="DA244" s="1"/>
      <c r="DB244" s="1"/>
      <c r="DC244" s="1"/>
      <c r="DD244" s="1"/>
      <c r="DE244" s="1"/>
      <c r="DF244" s="1"/>
      <c r="DG244" s="1"/>
      <c r="DH244" s="1"/>
      <c r="DI244" s="3"/>
      <c r="DJ244" s="3"/>
      <c r="DK244" s="3"/>
      <c r="DL244" s="3"/>
      <c r="DM244" s="3"/>
      <c r="DN244" s="3"/>
      <c r="DO244" s="3"/>
      <c r="DP244" s="3"/>
      <c r="DQ244" s="3"/>
      <c r="DR244" s="1"/>
      <c r="DS244" s="3"/>
      <c r="DT244" s="3"/>
      <c r="DU244" s="3"/>
      <c r="DV244" s="3"/>
      <c r="DW244" s="3"/>
      <c r="DX244" s="3"/>
      <c r="DY244" s="3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3"/>
      <c r="EK244" s="3"/>
      <c r="EL244" s="3"/>
      <c r="EM244" s="3"/>
      <c r="EN244" s="3"/>
      <c r="EO244" s="3"/>
      <c r="EP244" s="3"/>
      <c r="EQ244" s="3"/>
      <c r="ER244" s="1"/>
      <c r="ES244" s="3"/>
      <c r="ET244" s="1"/>
      <c r="EU244" s="1"/>
      <c r="EV244" s="1"/>
      <c r="EW244" s="1"/>
      <c r="EX244" s="1"/>
      <c r="EY244" s="1"/>
      <c r="EZ244" s="1"/>
      <c r="FA244" s="1"/>
      <c r="FB244" s="3"/>
      <c r="FC244" s="1"/>
      <c r="FD244" s="1"/>
      <c r="FE244" s="1"/>
      <c r="FF244" s="1"/>
      <c r="FG244" s="1"/>
      <c r="FH244" s="1"/>
      <c r="FI244" s="1"/>
      <c r="FJ244" s="1"/>
      <c r="FK244" s="3"/>
      <c r="FL244" s="1"/>
      <c r="FM244" s="1"/>
      <c r="FN244" s="1"/>
      <c r="FO244" s="1"/>
      <c r="FP244" s="1"/>
      <c r="FQ244" s="1"/>
      <c r="FR244" s="1"/>
      <c r="FS244" s="1"/>
      <c r="FT244" s="3"/>
      <c r="FU244" s="3"/>
      <c r="FV244" s="3"/>
      <c r="FW244" s="3"/>
      <c r="FX244" s="3"/>
      <c r="FY244" s="3"/>
      <c r="FZ244" s="3"/>
      <c r="GA244" s="1"/>
      <c r="GB244" s="3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20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3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</row>
    <row r="245" spans="1:33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S245" s="1"/>
      <c r="AT245" s="1"/>
      <c r="AU245" s="1"/>
      <c r="AV245" s="1"/>
      <c r="AW245" s="1"/>
      <c r="AZ245" s="1"/>
      <c r="BA245" s="1"/>
      <c r="BB245" s="1"/>
      <c r="BC245" s="1"/>
      <c r="BD245" s="1"/>
      <c r="BE245" s="1"/>
      <c r="BH245" s="1"/>
      <c r="BI245" s="1"/>
      <c r="BJ245" s="1"/>
      <c r="BK245" s="1"/>
      <c r="BL245" s="1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1"/>
      <c r="CQ245" s="3"/>
      <c r="CR245" s="3"/>
      <c r="CS245" s="3"/>
      <c r="CT245" s="3"/>
      <c r="CU245" s="3"/>
      <c r="CV245" s="3"/>
      <c r="CW245" s="3"/>
      <c r="CX245" s="3"/>
      <c r="CY245" s="1"/>
      <c r="CZ245" s="3"/>
      <c r="DA245" s="1"/>
      <c r="DB245" s="1"/>
      <c r="DC245" s="1"/>
      <c r="DD245" s="1"/>
      <c r="DE245" s="1"/>
      <c r="DF245" s="1"/>
      <c r="DG245" s="1"/>
      <c r="DH245" s="1"/>
      <c r="DI245" s="3"/>
      <c r="DJ245" s="3"/>
      <c r="DK245" s="3"/>
      <c r="DL245" s="3"/>
      <c r="DM245" s="3"/>
      <c r="DN245" s="3"/>
      <c r="DO245" s="3"/>
      <c r="DP245" s="3"/>
      <c r="DQ245" s="3"/>
      <c r="DR245" s="1"/>
      <c r="DS245" s="3"/>
      <c r="DT245" s="3"/>
      <c r="DU245" s="3"/>
      <c r="DV245" s="3"/>
      <c r="DW245" s="3"/>
      <c r="DX245" s="3"/>
      <c r="DY245" s="3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3"/>
      <c r="EK245" s="3"/>
      <c r="EL245" s="3"/>
      <c r="EM245" s="3"/>
      <c r="EN245" s="3"/>
      <c r="EO245" s="3"/>
      <c r="EP245" s="3"/>
      <c r="EQ245" s="3"/>
      <c r="ER245" s="1"/>
      <c r="ES245" s="3"/>
      <c r="ET245" s="1"/>
      <c r="EU245" s="1"/>
      <c r="EV245" s="1"/>
      <c r="EW245" s="1"/>
      <c r="EX245" s="1"/>
      <c r="EY245" s="1"/>
      <c r="EZ245" s="1"/>
      <c r="FA245" s="1"/>
      <c r="FB245" s="3"/>
      <c r="FC245" s="1"/>
      <c r="FD245" s="1"/>
      <c r="FE245" s="1"/>
      <c r="FF245" s="1"/>
      <c r="FG245" s="1"/>
      <c r="FH245" s="1"/>
      <c r="FI245" s="1"/>
      <c r="FJ245" s="1"/>
      <c r="FK245" s="3"/>
      <c r="FL245" s="1"/>
      <c r="FM245" s="1"/>
      <c r="FN245" s="1"/>
      <c r="FO245" s="1"/>
      <c r="FP245" s="1"/>
      <c r="FQ245" s="1"/>
      <c r="FR245" s="1"/>
      <c r="FS245" s="1"/>
      <c r="FT245" s="3"/>
      <c r="FU245" s="3"/>
      <c r="FV245" s="3"/>
      <c r="FW245" s="3"/>
      <c r="FX245" s="3"/>
      <c r="FY245" s="3"/>
      <c r="FZ245" s="3"/>
      <c r="GA245" s="1"/>
      <c r="GB245" s="3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20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3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</row>
    <row r="246" spans="1:33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S246" s="1"/>
      <c r="AT246" s="1"/>
      <c r="AU246" s="1"/>
      <c r="AV246" s="1"/>
      <c r="AW246" s="1"/>
      <c r="AZ246" s="1"/>
      <c r="BA246" s="1"/>
      <c r="BB246" s="1"/>
      <c r="BC246" s="1"/>
      <c r="BD246" s="1"/>
      <c r="BE246" s="1"/>
      <c r="BH246" s="1"/>
      <c r="BI246" s="1"/>
      <c r="BJ246" s="1"/>
      <c r="BK246" s="1"/>
      <c r="BL246" s="1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1"/>
      <c r="CQ246" s="3"/>
      <c r="CR246" s="3"/>
      <c r="CS246" s="3"/>
      <c r="CT246" s="3"/>
      <c r="CU246" s="3"/>
      <c r="CV246" s="3"/>
      <c r="CW246" s="3"/>
      <c r="CX246" s="3"/>
      <c r="CY246" s="1"/>
      <c r="CZ246" s="3"/>
      <c r="DA246" s="1"/>
      <c r="DB246" s="1"/>
      <c r="DC246" s="1"/>
      <c r="DD246" s="1"/>
      <c r="DE246" s="1"/>
      <c r="DF246" s="1"/>
      <c r="DG246" s="1"/>
      <c r="DH246" s="1"/>
      <c r="DI246" s="3"/>
      <c r="DJ246" s="3"/>
      <c r="DK246" s="3"/>
      <c r="DL246" s="3"/>
      <c r="DM246" s="3"/>
      <c r="DN246" s="3"/>
      <c r="DO246" s="3"/>
      <c r="DP246" s="3"/>
      <c r="DQ246" s="3"/>
      <c r="DR246" s="1"/>
      <c r="DS246" s="3"/>
      <c r="DT246" s="3"/>
      <c r="DU246" s="3"/>
      <c r="DV246" s="3"/>
      <c r="DW246" s="3"/>
      <c r="DX246" s="3"/>
      <c r="DY246" s="3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3"/>
      <c r="EK246" s="3"/>
      <c r="EL246" s="3"/>
      <c r="EM246" s="3"/>
      <c r="EN246" s="3"/>
      <c r="EO246" s="3"/>
      <c r="EP246" s="3"/>
      <c r="EQ246" s="3"/>
      <c r="ER246" s="1"/>
      <c r="ES246" s="3"/>
      <c r="ET246" s="1"/>
      <c r="EU246" s="1"/>
      <c r="EV246" s="1"/>
      <c r="EW246" s="1"/>
      <c r="EX246" s="1"/>
      <c r="EY246" s="1"/>
      <c r="EZ246" s="1"/>
      <c r="FA246" s="1"/>
      <c r="FB246" s="3"/>
      <c r="FC246" s="1"/>
      <c r="FD246" s="1"/>
      <c r="FE246" s="1"/>
      <c r="FF246" s="1"/>
      <c r="FG246" s="1"/>
      <c r="FH246" s="1"/>
      <c r="FI246" s="1"/>
      <c r="FJ246" s="1"/>
      <c r="FK246" s="3"/>
      <c r="FL246" s="1"/>
      <c r="FM246" s="1"/>
      <c r="FN246" s="1"/>
      <c r="FO246" s="1"/>
      <c r="FP246" s="1"/>
      <c r="FQ246" s="1"/>
      <c r="FR246" s="1"/>
      <c r="FS246" s="1"/>
      <c r="FT246" s="3"/>
      <c r="FU246" s="3"/>
      <c r="FV246" s="3"/>
      <c r="FW246" s="3"/>
      <c r="FX246" s="3"/>
      <c r="FY246" s="3"/>
      <c r="FZ246" s="3"/>
      <c r="GA246" s="1"/>
      <c r="GB246" s="3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20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3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</row>
    <row r="247" spans="1:33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S247" s="1"/>
      <c r="AT247" s="1"/>
      <c r="AU247" s="1"/>
      <c r="AV247" s="1"/>
      <c r="AW247" s="1"/>
      <c r="AZ247" s="1"/>
      <c r="BA247" s="1"/>
      <c r="BB247" s="1"/>
      <c r="BC247" s="1"/>
      <c r="BD247" s="1"/>
      <c r="BE247" s="1"/>
      <c r="BH247" s="1"/>
      <c r="BI247" s="1"/>
      <c r="BJ247" s="1"/>
      <c r="BK247" s="1"/>
      <c r="BL247" s="1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1"/>
      <c r="CQ247" s="3"/>
      <c r="CR247" s="3"/>
      <c r="CS247" s="3"/>
      <c r="CT247" s="3"/>
      <c r="CU247" s="3"/>
      <c r="CV247" s="3"/>
      <c r="CW247" s="3"/>
      <c r="CX247" s="3"/>
      <c r="CY247" s="1"/>
      <c r="CZ247" s="3"/>
      <c r="DA247" s="1"/>
      <c r="DB247" s="1"/>
      <c r="DC247" s="1"/>
      <c r="DD247" s="1"/>
      <c r="DE247" s="1"/>
      <c r="DF247" s="1"/>
      <c r="DG247" s="1"/>
      <c r="DH247" s="1"/>
      <c r="DI247" s="3"/>
      <c r="DJ247" s="3"/>
      <c r="DK247" s="3"/>
      <c r="DL247" s="3"/>
      <c r="DM247" s="3"/>
      <c r="DN247" s="3"/>
      <c r="DO247" s="3"/>
      <c r="DP247" s="3"/>
      <c r="DQ247" s="3"/>
      <c r="DR247" s="1"/>
      <c r="DS247" s="3"/>
      <c r="DT247" s="3"/>
      <c r="DU247" s="3"/>
      <c r="DV247" s="3"/>
      <c r="DW247" s="3"/>
      <c r="DX247" s="3"/>
      <c r="DY247" s="3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3"/>
      <c r="EK247" s="3"/>
      <c r="EL247" s="3"/>
      <c r="EM247" s="3"/>
      <c r="EN247" s="3"/>
      <c r="EO247" s="3"/>
      <c r="EP247" s="3"/>
      <c r="EQ247" s="3"/>
      <c r="ER247" s="1"/>
      <c r="ES247" s="3"/>
      <c r="ET247" s="1"/>
      <c r="EU247" s="1"/>
      <c r="EV247" s="1"/>
      <c r="EW247" s="1"/>
      <c r="EX247" s="1"/>
      <c r="EY247" s="1"/>
      <c r="EZ247" s="1"/>
      <c r="FA247" s="1"/>
      <c r="FB247" s="3"/>
      <c r="FC247" s="1"/>
      <c r="FD247" s="1"/>
      <c r="FE247" s="1"/>
      <c r="FF247" s="1"/>
      <c r="FG247" s="1"/>
      <c r="FH247" s="1"/>
      <c r="FI247" s="1"/>
      <c r="FJ247" s="1"/>
      <c r="FK247" s="3"/>
      <c r="FL247" s="1"/>
      <c r="FM247" s="1"/>
      <c r="FN247" s="1"/>
      <c r="FO247" s="1"/>
      <c r="FP247" s="1"/>
      <c r="FQ247" s="1"/>
      <c r="FR247" s="1"/>
      <c r="FS247" s="1"/>
      <c r="FT247" s="3"/>
      <c r="FU247" s="3"/>
      <c r="FV247" s="3"/>
      <c r="FW247" s="3"/>
      <c r="FX247" s="3"/>
      <c r="FY247" s="3"/>
      <c r="FZ247" s="3"/>
      <c r="GA247" s="1"/>
      <c r="GB247" s="3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20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3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</row>
    <row r="248" spans="1:33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S248" s="1"/>
      <c r="AT248" s="1"/>
      <c r="AU248" s="1"/>
      <c r="AV248" s="1"/>
      <c r="AW248" s="1"/>
      <c r="AZ248" s="1"/>
      <c r="BA248" s="1"/>
      <c r="BB248" s="1"/>
      <c r="BC248" s="1"/>
      <c r="BD248" s="1"/>
      <c r="BE248" s="1"/>
      <c r="BH248" s="1"/>
      <c r="BI248" s="1"/>
      <c r="BJ248" s="1"/>
      <c r="BK248" s="1"/>
      <c r="BL248" s="1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1"/>
      <c r="CQ248" s="3"/>
      <c r="CR248" s="3"/>
      <c r="CS248" s="3"/>
      <c r="CT248" s="3"/>
      <c r="CU248" s="3"/>
      <c r="CV248" s="3"/>
      <c r="CW248" s="3"/>
      <c r="CX248" s="3"/>
      <c r="CY248" s="1"/>
      <c r="CZ248" s="3"/>
      <c r="DA248" s="1"/>
      <c r="DB248" s="1"/>
      <c r="DC248" s="1"/>
      <c r="DD248" s="1"/>
      <c r="DE248" s="1"/>
      <c r="DF248" s="1"/>
      <c r="DG248" s="1"/>
      <c r="DH248" s="1"/>
      <c r="DI248" s="3"/>
      <c r="DJ248" s="3"/>
      <c r="DK248" s="3"/>
      <c r="DL248" s="3"/>
      <c r="DM248" s="3"/>
      <c r="DN248" s="3"/>
      <c r="DO248" s="3"/>
      <c r="DP248" s="3"/>
      <c r="DQ248" s="3"/>
      <c r="DR248" s="1"/>
      <c r="DS248" s="3"/>
      <c r="DT248" s="3"/>
      <c r="DU248" s="3"/>
      <c r="DV248" s="3"/>
      <c r="DW248" s="3"/>
      <c r="DX248" s="3"/>
      <c r="DY248" s="3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3"/>
      <c r="EK248" s="3"/>
      <c r="EL248" s="3"/>
      <c r="EM248" s="3"/>
      <c r="EN248" s="3"/>
      <c r="EO248" s="3"/>
      <c r="EP248" s="3"/>
      <c r="EQ248" s="3"/>
      <c r="ER248" s="1"/>
      <c r="ES248" s="3"/>
      <c r="ET248" s="1"/>
      <c r="EU248" s="1"/>
      <c r="EV248" s="1"/>
      <c r="EW248" s="1"/>
      <c r="EX248" s="1"/>
      <c r="EY248" s="1"/>
      <c r="EZ248" s="1"/>
      <c r="FA248" s="1"/>
      <c r="FB248" s="3"/>
      <c r="FC248" s="1"/>
      <c r="FD248" s="1"/>
      <c r="FE248" s="1"/>
      <c r="FF248" s="1"/>
      <c r="FG248" s="1"/>
      <c r="FH248" s="1"/>
      <c r="FI248" s="1"/>
      <c r="FJ248" s="1"/>
      <c r="FK248" s="3"/>
      <c r="FL248" s="1"/>
      <c r="FM248" s="1"/>
      <c r="FN248" s="1"/>
      <c r="FO248" s="1"/>
      <c r="FP248" s="1"/>
      <c r="FQ248" s="1"/>
      <c r="FR248" s="1"/>
      <c r="FS248" s="1"/>
      <c r="FT248" s="3"/>
      <c r="FU248" s="3"/>
      <c r="FV248" s="3"/>
      <c r="FW248" s="3"/>
      <c r="FX248" s="3"/>
      <c r="FY248" s="3"/>
      <c r="FZ248" s="3"/>
      <c r="GA248" s="1"/>
      <c r="GB248" s="3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20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3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</row>
    <row r="249" spans="1:33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S249" s="1"/>
      <c r="AT249" s="1"/>
      <c r="AU249" s="1"/>
      <c r="AV249" s="1"/>
      <c r="AW249" s="1"/>
      <c r="AZ249" s="1"/>
      <c r="BA249" s="1"/>
      <c r="BB249" s="1"/>
      <c r="BC249" s="1"/>
      <c r="BD249" s="1"/>
      <c r="BE249" s="1"/>
      <c r="BH249" s="1"/>
      <c r="BI249" s="1"/>
      <c r="BJ249" s="1"/>
      <c r="BK249" s="1"/>
      <c r="BL249" s="1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1"/>
      <c r="CQ249" s="3"/>
      <c r="CR249" s="3"/>
      <c r="CS249" s="3"/>
      <c r="CT249" s="3"/>
      <c r="CU249" s="3"/>
      <c r="CV249" s="3"/>
      <c r="CW249" s="3"/>
      <c r="CX249" s="3"/>
      <c r="CY249" s="1"/>
      <c r="CZ249" s="3"/>
      <c r="DA249" s="1"/>
      <c r="DB249" s="1"/>
      <c r="DC249" s="1"/>
      <c r="DD249" s="1"/>
      <c r="DE249" s="1"/>
      <c r="DF249" s="1"/>
      <c r="DG249" s="1"/>
      <c r="DH249" s="1"/>
      <c r="DI249" s="3"/>
      <c r="DJ249" s="3"/>
      <c r="DK249" s="3"/>
      <c r="DL249" s="3"/>
      <c r="DM249" s="3"/>
      <c r="DN249" s="3"/>
      <c r="DO249" s="3"/>
      <c r="DP249" s="3"/>
      <c r="DQ249" s="3"/>
      <c r="DR249" s="1"/>
      <c r="DS249" s="3"/>
      <c r="DT249" s="3"/>
      <c r="DU249" s="3"/>
      <c r="DV249" s="3"/>
      <c r="DW249" s="3"/>
      <c r="DX249" s="3"/>
      <c r="DY249" s="3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3"/>
      <c r="EK249" s="3"/>
      <c r="EL249" s="3"/>
      <c r="EM249" s="3"/>
      <c r="EN249" s="3"/>
      <c r="EO249" s="3"/>
      <c r="EP249" s="3"/>
      <c r="EQ249" s="3"/>
      <c r="ER249" s="1"/>
      <c r="ES249" s="3"/>
      <c r="ET249" s="1"/>
      <c r="EU249" s="1"/>
      <c r="EV249" s="1"/>
      <c r="EW249" s="1"/>
      <c r="EX249" s="1"/>
      <c r="EY249" s="1"/>
      <c r="EZ249" s="1"/>
      <c r="FA249" s="1"/>
      <c r="FB249" s="3"/>
      <c r="FC249" s="1"/>
      <c r="FD249" s="1"/>
      <c r="FE249" s="1"/>
      <c r="FF249" s="1"/>
      <c r="FG249" s="1"/>
      <c r="FH249" s="1"/>
      <c r="FI249" s="1"/>
      <c r="FJ249" s="1"/>
      <c r="FK249" s="3"/>
      <c r="FL249" s="1"/>
      <c r="FM249" s="1"/>
      <c r="FN249" s="1"/>
      <c r="FO249" s="1"/>
      <c r="FP249" s="1"/>
      <c r="FQ249" s="1"/>
      <c r="FR249" s="1"/>
      <c r="FS249" s="1"/>
      <c r="FT249" s="3"/>
      <c r="FU249" s="3"/>
      <c r="FV249" s="3"/>
      <c r="FW249" s="3"/>
      <c r="FX249" s="3"/>
      <c r="FY249" s="3"/>
      <c r="FZ249" s="3"/>
      <c r="GA249" s="1"/>
      <c r="GB249" s="3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20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3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</row>
    <row r="250" spans="1:33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S250" s="1"/>
      <c r="AT250" s="1"/>
      <c r="AU250" s="1"/>
      <c r="AV250" s="1"/>
      <c r="AW250" s="1"/>
      <c r="AZ250" s="1"/>
      <c r="BA250" s="1"/>
      <c r="BB250" s="1"/>
      <c r="BC250" s="1"/>
      <c r="BD250" s="1"/>
      <c r="BE250" s="1"/>
      <c r="BH250" s="1"/>
      <c r="BI250" s="1"/>
      <c r="BJ250" s="1"/>
      <c r="BK250" s="1"/>
      <c r="BL250" s="1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1"/>
      <c r="CQ250" s="3"/>
      <c r="CR250" s="3"/>
      <c r="CS250" s="3"/>
      <c r="CT250" s="3"/>
      <c r="CU250" s="3"/>
      <c r="CV250" s="3"/>
      <c r="CW250" s="3"/>
      <c r="CX250" s="3"/>
      <c r="CY250" s="1"/>
      <c r="CZ250" s="3"/>
      <c r="DA250" s="1"/>
      <c r="DB250" s="1"/>
      <c r="DC250" s="1"/>
      <c r="DD250" s="1"/>
      <c r="DE250" s="1"/>
      <c r="DF250" s="1"/>
      <c r="DG250" s="1"/>
      <c r="DH250" s="1"/>
      <c r="DI250" s="3"/>
      <c r="DJ250" s="3"/>
      <c r="DK250" s="3"/>
      <c r="DL250" s="3"/>
      <c r="DM250" s="3"/>
      <c r="DN250" s="3"/>
      <c r="DO250" s="3"/>
      <c r="DP250" s="3"/>
      <c r="DQ250" s="3"/>
      <c r="DR250" s="1"/>
      <c r="DS250" s="3"/>
      <c r="DT250" s="3"/>
      <c r="DU250" s="3"/>
      <c r="DV250" s="3"/>
      <c r="DW250" s="3"/>
      <c r="DX250" s="3"/>
      <c r="DY250" s="3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3"/>
      <c r="EK250" s="3"/>
      <c r="EL250" s="3"/>
      <c r="EM250" s="3"/>
      <c r="EN250" s="3"/>
      <c r="EO250" s="3"/>
      <c r="EP250" s="3"/>
      <c r="EQ250" s="3"/>
      <c r="ER250" s="1"/>
      <c r="ES250" s="3"/>
      <c r="ET250" s="1"/>
      <c r="EU250" s="1"/>
      <c r="EV250" s="1"/>
      <c r="EW250" s="1"/>
      <c r="EX250" s="1"/>
      <c r="EY250" s="1"/>
      <c r="EZ250" s="1"/>
      <c r="FA250" s="1"/>
      <c r="FB250" s="3"/>
      <c r="FC250" s="1"/>
      <c r="FD250" s="1"/>
      <c r="FE250" s="1"/>
      <c r="FF250" s="1"/>
      <c r="FG250" s="1"/>
      <c r="FH250" s="1"/>
      <c r="FI250" s="1"/>
      <c r="FJ250" s="1"/>
      <c r="FK250" s="3"/>
      <c r="FL250" s="1"/>
      <c r="FM250" s="1"/>
      <c r="FN250" s="1"/>
      <c r="FO250" s="1"/>
      <c r="FP250" s="1"/>
      <c r="FQ250" s="1"/>
      <c r="FR250" s="1"/>
      <c r="FS250" s="1"/>
      <c r="FT250" s="3"/>
      <c r="FU250" s="3"/>
      <c r="FV250" s="3"/>
      <c r="FW250" s="3"/>
      <c r="FX250" s="3"/>
      <c r="FY250" s="3"/>
      <c r="FZ250" s="3"/>
      <c r="GA250" s="1"/>
      <c r="GB250" s="3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20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3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</row>
  </sheetData>
  <autoFilter ref="A5:CN129" xr:uid="{00000000-0001-0000-01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</autoFilter>
  <mergeCells count="54">
    <mergeCell ref="C2:E3"/>
    <mergeCell ref="F5:U5"/>
    <mergeCell ref="V5:AJ5"/>
    <mergeCell ref="AK5:AY5"/>
    <mergeCell ref="AZ5:BN5"/>
    <mergeCell ref="IX5:IX6"/>
    <mergeCell ref="IV5:IW5"/>
    <mergeCell ref="IN5:IU5"/>
    <mergeCell ref="A5:A6"/>
    <mergeCell ref="B5:B6"/>
    <mergeCell ref="C5:C6"/>
    <mergeCell ref="D5:D6"/>
    <mergeCell ref="E5:E6"/>
    <mergeCell ref="BO5:BV5"/>
    <mergeCell ref="BX5:CE5"/>
    <mergeCell ref="CG5:CN5"/>
    <mergeCell ref="CQ5:CX5"/>
    <mergeCell ref="CZ5:DG5"/>
    <mergeCell ref="CF5:CF6"/>
    <mergeCell ref="CP5:CP6"/>
    <mergeCell ref="CY5:CY6"/>
    <mergeCell ref="GJ5:GJ6"/>
    <mergeCell ref="DI5:DQ5"/>
    <mergeCell ref="DS5:DY5"/>
    <mergeCell ref="EA5:EH5"/>
    <mergeCell ref="EJ5:EQ5"/>
    <mergeCell ref="FB5:FI5"/>
    <mergeCell ref="FK5:FR5"/>
    <mergeCell ref="FT5:FZ5"/>
    <mergeCell ref="GB5:GI5"/>
    <mergeCell ref="FJ5:FJ6"/>
    <mergeCell ref="FS5:FS6"/>
    <mergeCell ref="GA5:GA6"/>
    <mergeCell ref="BW5:BW6"/>
    <mergeCell ref="DH5:DH6"/>
    <mergeCell ref="FA5:FA6"/>
    <mergeCell ref="DR5:DR6"/>
    <mergeCell ref="DZ5:DZ6"/>
    <mergeCell ref="ER5:ER6"/>
    <mergeCell ref="EI5:EI6"/>
    <mergeCell ref="ES5:EZ5"/>
    <mergeCell ref="GK5:GR5"/>
    <mergeCell ref="GT5:HA5"/>
    <mergeCell ref="HC5:HJ5"/>
    <mergeCell ref="HL5:HS5"/>
    <mergeCell ref="HU5:IB5"/>
    <mergeCell ref="GS5:GS6"/>
    <mergeCell ref="IF5:IM5"/>
    <mergeCell ref="HK5:HK6"/>
    <mergeCell ref="HB5:HB6"/>
    <mergeCell ref="ID5:ID6"/>
    <mergeCell ref="HT5:HT6"/>
    <mergeCell ref="IC5:IC6"/>
    <mergeCell ref="IE5:IE6"/>
  </mergeCells>
  <phoneticPr fontId="20" type="noConversion"/>
  <pageMargins left="0.75" right="0.75" top="1" bottom="1" header="0.5" footer="0.5"/>
  <pageSetup orientation="portrait" horizontalDpi="4294967292" verticalDpi="4294967292" r:id="rId1"/>
  <ignoredErrors>
    <ignoredError sqref="G2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BDA8-6588-4641-8DAC-85F03EC46141}">
  <dimension ref="A1:AZ29"/>
  <sheetViews>
    <sheetView topLeftCell="A3" workbookViewId="0">
      <selection sqref="A1:C1"/>
    </sheetView>
  </sheetViews>
  <sheetFormatPr defaultColWidth="8.625" defaultRowHeight="15.75"/>
  <cols>
    <col min="14" max="17" width="14.375" customWidth="1"/>
    <col min="19" max="19" width="11.625" customWidth="1"/>
    <col min="20" max="20" width="10.5" customWidth="1"/>
    <col min="21" max="21" width="10.875" customWidth="1"/>
    <col min="22" max="22" width="8.625" customWidth="1"/>
    <col min="31" max="31" width="10.625" customWidth="1"/>
    <col min="32" max="32" width="11.25" customWidth="1"/>
    <col min="34" max="34" width="10.625" customWidth="1"/>
    <col min="36" max="37" width="10.875" customWidth="1"/>
    <col min="38" max="38" width="11.125" customWidth="1"/>
    <col min="39" max="39" width="9.875" customWidth="1"/>
    <col min="40" max="40" width="11.375" customWidth="1"/>
    <col min="41" max="41" width="11.125" customWidth="1"/>
    <col min="42" max="42" width="13.875" customWidth="1"/>
    <col min="51" max="51" width="10.5" customWidth="1"/>
    <col min="52" max="52" width="11.875" customWidth="1"/>
  </cols>
  <sheetData>
    <row r="1" spans="1:52" ht="15.75" customHeight="1">
      <c r="A1" s="123" t="s">
        <v>8</v>
      </c>
      <c r="B1" s="123"/>
      <c r="C1" s="123"/>
      <c r="D1" s="123" t="s">
        <v>208</v>
      </c>
      <c r="E1" s="123"/>
      <c r="F1" s="123"/>
      <c r="G1" s="123" t="s">
        <v>10</v>
      </c>
      <c r="H1" s="123"/>
      <c r="I1" s="123"/>
      <c r="J1" s="123" t="s">
        <v>11</v>
      </c>
      <c r="K1" s="123"/>
      <c r="L1" s="123"/>
      <c r="N1" s="138" t="s">
        <v>209</v>
      </c>
      <c r="O1" s="138"/>
      <c r="P1" s="138" t="s">
        <v>210</v>
      </c>
      <c r="Q1" s="138"/>
      <c r="S1" s="136" t="s">
        <v>211</v>
      </c>
      <c r="T1" s="136"/>
      <c r="U1" s="136" t="s">
        <v>212</v>
      </c>
      <c r="V1" s="136"/>
      <c r="W1" s="136" t="s">
        <v>213</v>
      </c>
      <c r="X1" s="136"/>
      <c r="Z1" s="113" t="s">
        <v>214</v>
      </c>
      <c r="AA1" s="113"/>
      <c r="AB1" s="139" t="s">
        <v>215</v>
      </c>
      <c r="AC1" s="139"/>
      <c r="AD1" s="139"/>
      <c r="AE1" s="137" t="s">
        <v>216</v>
      </c>
      <c r="AF1" s="137"/>
      <c r="AG1" s="137" t="s">
        <v>217</v>
      </c>
      <c r="AH1" s="137"/>
      <c r="AJ1" s="136" t="s">
        <v>218</v>
      </c>
      <c r="AK1" s="136"/>
      <c r="AL1" s="138" t="s">
        <v>219</v>
      </c>
      <c r="AM1" s="138"/>
      <c r="AN1" s="138" t="s">
        <v>220</v>
      </c>
      <c r="AO1" s="138"/>
      <c r="AP1" s="138" t="s">
        <v>221</v>
      </c>
      <c r="AQ1" s="138"/>
      <c r="AS1" s="115" t="s">
        <v>222</v>
      </c>
      <c r="AT1" s="116"/>
      <c r="AU1" s="136" t="s">
        <v>223</v>
      </c>
      <c r="AV1" s="136"/>
      <c r="AW1" s="136" t="s">
        <v>224</v>
      </c>
      <c r="AX1" s="136"/>
      <c r="AY1" s="115" t="s">
        <v>225</v>
      </c>
      <c r="AZ1" s="117"/>
    </row>
    <row r="2" spans="1:52" ht="25.5">
      <c r="A2" s="14" t="s">
        <v>38</v>
      </c>
      <c r="B2" s="14" t="s">
        <v>226</v>
      </c>
      <c r="C2" s="14" t="s">
        <v>227</v>
      </c>
      <c r="D2" s="14" t="s">
        <v>38</v>
      </c>
      <c r="E2" s="14" t="s">
        <v>226</v>
      </c>
      <c r="F2" s="14" t="s">
        <v>227</v>
      </c>
      <c r="G2" s="14" t="s">
        <v>38</v>
      </c>
      <c r="H2" s="14" t="s">
        <v>226</v>
      </c>
      <c r="I2" s="14" t="s">
        <v>227</v>
      </c>
      <c r="J2" s="14" t="s">
        <v>38</v>
      </c>
      <c r="K2" s="14" t="s">
        <v>226</v>
      </c>
      <c r="L2" s="14" t="s">
        <v>227</v>
      </c>
      <c r="N2" s="11" t="s">
        <v>53</v>
      </c>
      <c r="O2" s="11" t="s">
        <v>228</v>
      </c>
      <c r="P2" s="11" t="s">
        <v>38</v>
      </c>
      <c r="Q2" s="11" t="s">
        <v>228</v>
      </c>
      <c r="S2" s="13" t="s">
        <v>53</v>
      </c>
      <c r="T2" s="13" t="s">
        <v>228</v>
      </c>
      <c r="U2" s="13" t="s">
        <v>53</v>
      </c>
      <c r="V2" s="13" t="s">
        <v>228</v>
      </c>
      <c r="W2" s="13" t="s">
        <v>53</v>
      </c>
      <c r="X2" s="13" t="s">
        <v>228</v>
      </c>
      <c r="Z2" s="64" t="s">
        <v>53</v>
      </c>
      <c r="AA2" s="64" t="s">
        <v>228</v>
      </c>
      <c r="AB2" s="64" t="s">
        <v>62</v>
      </c>
      <c r="AC2" s="64" t="s">
        <v>63</v>
      </c>
      <c r="AD2" s="64" t="s">
        <v>228</v>
      </c>
      <c r="AE2" s="64" t="s">
        <v>53</v>
      </c>
      <c r="AF2" s="64" t="s">
        <v>228</v>
      </c>
      <c r="AG2" s="64" t="s">
        <v>53</v>
      </c>
      <c r="AH2" s="64" t="s">
        <v>228</v>
      </c>
      <c r="AJ2" s="13" t="s">
        <v>53</v>
      </c>
      <c r="AK2" s="13" t="s">
        <v>228</v>
      </c>
      <c r="AL2" s="11" t="s">
        <v>38</v>
      </c>
      <c r="AM2" s="11" t="s">
        <v>228</v>
      </c>
      <c r="AN2" s="11" t="s">
        <v>38</v>
      </c>
      <c r="AO2" s="11" t="s">
        <v>228</v>
      </c>
      <c r="AP2" s="11" t="s">
        <v>38</v>
      </c>
      <c r="AQ2" s="11" t="s">
        <v>228</v>
      </c>
      <c r="AS2" s="13" t="s">
        <v>38</v>
      </c>
      <c r="AT2" s="13" t="s">
        <v>228</v>
      </c>
      <c r="AU2" s="13" t="s">
        <v>53</v>
      </c>
      <c r="AV2" s="13" t="s">
        <v>228</v>
      </c>
      <c r="AW2" s="13" t="s">
        <v>53</v>
      </c>
      <c r="AX2" s="13" t="s">
        <v>228</v>
      </c>
      <c r="AY2" s="13" t="s">
        <v>53</v>
      </c>
      <c r="AZ2" s="13" t="s">
        <v>228</v>
      </c>
    </row>
    <row r="3" spans="1:52">
      <c r="A3" s="65">
        <f>T4_2025!G129</f>
        <v>58645</v>
      </c>
      <c r="B3" s="65">
        <f>T4_2025!H129+T4_2025!I129+T4_2025!J129+T4_2025!K129+T4_2025!L129+T4_2025!M129+T4_2025!N129</f>
        <v>48645</v>
      </c>
      <c r="C3" s="65">
        <f>T4_2025!O129+T4_2025!P129+T4_2025!Q129+T4_2025!R129+T4_2025!S129+T4_2025!T129+T4_2025!U129</f>
        <v>48645</v>
      </c>
      <c r="D3" s="65">
        <f>T4_2025!V129</f>
        <v>11810</v>
      </c>
      <c r="E3" s="65">
        <f>T4_2025!W129+T4_2025!X129+T4_2025!Y129+T4_2025!Z129+T4_2025!AA129+T4_2025!AB129+T4_2025!AC129</f>
        <v>11418</v>
      </c>
      <c r="F3" s="65">
        <f>T4_2025!AD129+T4_2025!AE129+T4_2025!AF129+T4_2025!AG129+T4_2025!AH129+T4_2025!AI129+T4_2025!AJ129</f>
        <v>11418</v>
      </c>
      <c r="G3" s="65">
        <f>T4_2025!AK129</f>
        <v>144833</v>
      </c>
      <c r="H3" s="65">
        <f>T4_2025!AL129+T4_2025!AM129+T4_2025!AN129+T4_2025!AO129+T4_2025!AP129+T4_2025!AQ129+T4_2025!AR129</f>
        <v>137795</v>
      </c>
      <c r="I3" s="65">
        <f>T4_2025!AS129+T4_2025!AT129+T4_2025!AU129+T4_2025!AV129+T4_2025!AW129+T4_2025!AX129+T4_2025!AY129</f>
        <v>137795</v>
      </c>
      <c r="J3" s="65">
        <f>T4_2025!AZ129</f>
        <v>8889</v>
      </c>
      <c r="K3" s="65">
        <f>T4_2025!BA129+T4_2025!BB129+T4_2025!BC129+T4_2025!BD129+T4_2025!BE129+T4_2025!BF129+T4_2025!BG129</f>
        <v>8054</v>
      </c>
      <c r="L3" s="65">
        <f>T4_2025!BH129+T4_2025!BI129+T4_2025!BJ129+T4_2025!BK129+T4_2025!BL129+T4_2025!BM129+T4_2025!BN129</f>
        <v>8099</v>
      </c>
      <c r="N3" s="68">
        <f>T4_2025!BX129</f>
        <v>4.08</v>
      </c>
      <c r="O3" s="68">
        <f>T4_2025!BY129+T4_2025!BZ129+T4_2025!CA129+T4_2025!CB129+T4_2025!CC129+T4_2025!CD129+T4_2025!CE129</f>
        <v>4.0750000000000002</v>
      </c>
      <c r="P3" s="68">
        <f>T4_2025!CG129</f>
        <v>56.550000000000018</v>
      </c>
      <c r="Q3" s="68">
        <f>T4_2025!CH129+T4_2025!CI129+T4_2025!CJ129+T4_2025!CK129+T4_2025!CL129+T4_2025!CM129+T4_2025!CN129</f>
        <v>65.099999999999994</v>
      </c>
      <c r="S3" s="68">
        <f>T4_2025!CQ129</f>
        <v>509.89999999999986</v>
      </c>
      <c r="T3" s="68">
        <f>T4_2025!CR129+T4_2025!CS129+T4_2025!CT129+T4_2025!CU129+T4_2025!CV129+T4_2025!CW129+T4_2025!CX129</f>
        <v>541.45000000000005</v>
      </c>
      <c r="U3" s="68">
        <f>T4_2025!EJ129</f>
        <v>146.85999999999996</v>
      </c>
      <c r="V3" s="68">
        <f>T4_2025!EK129+T4_2025!EL129+T4_2025!EM129+T4_2025!EN129+T4_2025!EO129+T4_2025!EP129+T4_2025!EQ129</f>
        <v>158.31000000000003</v>
      </c>
      <c r="W3" s="68">
        <f>T4_2025!EA129</f>
        <v>4.5</v>
      </c>
      <c r="X3" s="68">
        <f>T4_2025!EB129+T4_2025!EC129+T4_2025!ED129+T4_2025!EE129+T4_2025!EF129+T4_2025!EG129+T4_2025!EH129</f>
        <v>4.5</v>
      </c>
      <c r="Z3" s="66">
        <f>T4_2025!CZ129</f>
        <v>28688</v>
      </c>
      <c r="AA3" s="66">
        <f>T4_2025!DA129+T4_2025!DB129+T4_2025!DC129+T4_2025!DD129+T4_2025!DE129+T4_2025!DF129+T4_2025!DG129</f>
        <v>29388</v>
      </c>
      <c r="AB3" s="66">
        <f>T4_2025!DI129</f>
        <v>224</v>
      </c>
      <c r="AC3" s="66">
        <f>T4_2025!DJ129</f>
        <v>643</v>
      </c>
      <c r="AD3" s="66">
        <f>T4_2025!DK129+T4_2025!DL129+T4_2025!DM129+T4_2025!DN129+T4_2025!DO129+T4_2025!DP129+T4_2025!DQ129</f>
        <v>672</v>
      </c>
      <c r="AE3" s="66">
        <f>T4_2025!FK129</f>
        <v>22200</v>
      </c>
      <c r="AF3" s="66">
        <f>T4_2025!FL129+T4_2025!FM129+T4_2025!FN129+T4_2025!FO129+T4_2025!FP129+T4_2025!FQ129+T4_2025!FR129</f>
        <v>22400</v>
      </c>
      <c r="AG3" s="69">
        <f>T4_2025!FB129</f>
        <v>3</v>
      </c>
      <c r="AH3" s="69">
        <f>T4_2025!FC129+T4_2025!FD129+T4_2025!FE129+T4_2025!FF129+T4_2025!FG129+T4_2025!FH129+T4_2025!FI129</f>
        <v>8</v>
      </c>
      <c r="AJ3" s="68">
        <f>T4_2025!ES129</f>
        <v>5.49</v>
      </c>
      <c r="AK3" s="68">
        <f>T4_2025!ET129+T4_2025!EU129+T4_2025!EV129+T4_2025!EW129+T4_2025!EX129+T4_2025!EY129+T4_2025!EZ129</f>
        <v>5.4903999999999993</v>
      </c>
      <c r="AL3" s="68">
        <f>T4_2025!GB129</f>
        <v>3.8</v>
      </c>
      <c r="AM3" s="68">
        <f>T4_2025!GC129+T4_2025!GD129+T4_2025!GE129+T4_2025!GF129+T4_2025!GG129+T4_2025!GH129+T4_2025!GI129</f>
        <v>3.8</v>
      </c>
      <c r="AN3" s="68">
        <f>T4_2025!GK129</f>
        <v>1</v>
      </c>
      <c r="AO3" s="68">
        <f>T4_2025!GL129+T4_2025!GM129+T4_2025!GN129+T4_2025!GO129+T4_2025!GP129+T4_2025!GQ129+T4_2025!GR129</f>
        <v>1</v>
      </c>
      <c r="AP3" s="68">
        <f>T4_2025!HC129</f>
        <v>3</v>
      </c>
      <c r="AQ3" s="68">
        <f>T4_2025!GU129+T4_2025!GV129+T4_2025!GW129+T4_2025!GX129+T4_2025!GY129+T4_2025!GZ129+T4_2025!HA129</f>
        <v>3.21</v>
      </c>
      <c r="AS3" s="2">
        <v>0</v>
      </c>
      <c r="AT3" s="65">
        <f>T4_2025!FT129+T4_2025!FU129+T4_2025!FV129+T4_2025!FW129+T4_2025!FX129+T4_2025!FY129+T4_2025!FZ129</f>
        <v>95</v>
      </c>
      <c r="AU3" s="65">
        <f>[2]T3_2024!DO129</f>
        <v>3</v>
      </c>
      <c r="AV3" s="65">
        <f>T4_2025!HD129+T4_2025!HE129+T4_2025!HF129+T4_2025!HG129+T4_2025!HH129+T4_2025!HI129+T4_2025!HJ129</f>
        <v>4</v>
      </c>
      <c r="AW3" s="65">
        <f>T4_2025!HL129</f>
        <v>29</v>
      </c>
      <c r="AX3" s="65">
        <f>T4_2025!HM129+T4_2025!HN129+T4_2025!HO129+T4_2025!HP129+T4_2025!HQ129+T4_2025!HR129+T4_2025!HS129</f>
        <v>29</v>
      </c>
      <c r="AY3" s="65">
        <f>[2]T3_2024!DX129</f>
        <v>7</v>
      </c>
      <c r="AZ3" s="65">
        <f>T4_2025!HV129+T4_2025!HX129+T4_2025!HY129+T4_2025!HZ129+T4_2025!IA129+T4_2025!IB129</f>
        <v>7</v>
      </c>
    </row>
    <row r="29" spans="8:8">
      <c r="H29" s="103"/>
    </row>
  </sheetData>
  <mergeCells count="21">
    <mergeCell ref="AE1:AF1"/>
    <mergeCell ref="A1:C1"/>
    <mergeCell ref="D1:F1"/>
    <mergeCell ref="G1:I1"/>
    <mergeCell ref="J1:L1"/>
    <mergeCell ref="N1:O1"/>
    <mergeCell ref="P1:Q1"/>
    <mergeCell ref="S1:T1"/>
    <mergeCell ref="U1:V1"/>
    <mergeCell ref="W1:X1"/>
    <mergeCell ref="Z1:AA1"/>
    <mergeCell ref="AB1:AD1"/>
    <mergeCell ref="AU1:AV1"/>
    <mergeCell ref="AW1:AX1"/>
    <mergeCell ref="AY1:AZ1"/>
    <mergeCell ref="AG1:AH1"/>
    <mergeCell ref="AJ1:AK1"/>
    <mergeCell ref="AL1:AM1"/>
    <mergeCell ref="AN1:AO1"/>
    <mergeCell ref="AP1:AQ1"/>
    <mergeCell ref="AS1:AT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9f6720-a190-42a0-a403-479d4f3a984b" xsi:nil="true"/>
    <lcf76f155ced4ddcb4097134ff3c332f xmlns="e1295cca-d835-4dd3-a9a5-c7397034300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05E1F4F1E6D144BC3DE59FE80F9768" ma:contentTypeVersion="21" ma:contentTypeDescription="Crear nuevo documento." ma:contentTypeScope="" ma:versionID="81f9f4241b31051575f7187dc2aa3a84">
  <xsd:schema xmlns:xsd="http://www.w3.org/2001/XMLSchema" xmlns:xs="http://www.w3.org/2001/XMLSchema" xmlns:p="http://schemas.microsoft.com/office/2006/metadata/properties" xmlns:ns1="http://schemas.microsoft.com/sharepoint/v3" xmlns:ns2="e1295cca-d835-4dd3-a9a5-c73970343006" xmlns:ns3="d99f6720-a190-42a0-a403-479d4f3a984b" targetNamespace="http://schemas.microsoft.com/office/2006/metadata/properties" ma:root="true" ma:fieldsID="ccd8f88462c98af3314b327bde7c2720" ns1:_="" ns2:_="" ns3:_="">
    <xsd:import namespace="http://schemas.microsoft.com/sharepoint/v3"/>
    <xsd:import namespace="e1295cca-d835-4dd3-a9a5-c73970343006"/>
    <xsd:import namespace="d99f6720-a190-42a0-a403-479d4f3a9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95cca-d835-4dd3-a9a5-c73970343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6c3ce45-469a-4906-abbf-fea0a19a8b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f6720-a190-42a0-a403-479d4f3a98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4252cb-65f4-49ff-a013-63fffe72d810}" ma:internalName="TaxCatchAll" ma:showField="CatchAllData" ma:web="d99f6720-a190-42a0-a403-479d4f3a9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3CCC5-2A04-4E5A-99A0-7CC81AF0C7D8}"/>
</file>

<file path=customXml/itemProps2.xml><?xml version="1.0" encoding="utf-8"?>
<ds:datastoreItem xmlns:ds="http://schemas.openxmlformats.org/officeDocument/2006/customXml" ds:itemID="{9B4F2811-8664-4A55-83A2-C8E6518C516F}"/>
</file>

<file path=customXml/itemProps3.xml><?xml version="1.0" encoding="utf-8"?>
<ds:datastoreItem xmlns:ds="http://schemas.openxmlformats.org/officeDocument/2006/customXml" ds:itemID="{0D5DFC19-11BA-4B4E-8CE4-DB1B3CBAA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AMAZON TEAM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AMAZON CONSERVATION TEAM</dc:creator>
  <cp:keywords/>
  <dc:description/>
  <cp:lastModifiedBy/>
  <cp:revision/>
  <dcterms:created xsi:type="dcterms:W3CDTF">2018-12-05T14:38:45Z</dcterms:created>
  <dcterms:modified xsi:type="dcterms:W3CDTF">2026-06-10T20:31:52Z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0x010100DC05E1F4F1E6D144BC3DE59FE80F9768</vt:lpwstr>
  </property>
  <property fmtid="{D5CDD505-2E9C-101B-9397-08002B2CF9AE}" pid="3" name="IsMyDocuments">
    <vt:bool>true</vt:bool>
  </property>
  <property fmtid="{D5CDD505-2E9C-101B-9397-08002B2CF9AE}" pid="4" name="Order">
    <vt:r8>459700</vt:r8>
  </property>
  <property fmtid="{D5CDD505-2E9C-101B-9397-08002B2CF9AE}" pid="5" name="ComplianceAssetId">
    <vt:lpwstr/>
  </property>
  <property fmtid="{D5CDD505-2E9C-101B-9397-08002B2CF9AE}" pid="6" name="MediaServiceImageTags">
    <vt:lpwstr/>
  </property>
</Properties>
</file>