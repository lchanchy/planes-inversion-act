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am-my.sharepoint.com/personal/enunez_actcolombia_org/Documents/Documentos/INFORMACION/Documents/2026/FFEM/Planificación_Predial/Solano/"/>
    </mc:Choice>
  </mc:AlternateContent>
  <xr:revisionPtr revIDLastSave="2526" documentId="8_{937EEEAE-E0AC-4F24-B5A9-94E609CB36F3}" xr6:coauthVersionLast="47" xr6:coauthVersionMax="47" xr10:uidLastSave="{DCA8D814-F1D0-4E33-8105-C0C3159C38B8}"/>
  <bookViews>
    <workbookView xWindow="-120" yWindow="-120" windowWidth="20730" windowHeight="11040" activeTab="1" xr2:uid="{AB9123A2-E5CA-42E4-8FDC-760D74AE107D}"/>
  </bookViews>
  <sheets>
    <sheet name="General" sheetId="14" r:id="rId1"/>
    <sheet name="Rubiel_Perez" sheetId="8" r:id="rId2"/>
    <sheet name="Jairo_Marin" sheetId="15" r:id="rId3"/>
    <sheet name="Liliana_Gaviria" sheetId="16" r:id="rId4"/>
    <sheet name="NIdia_Motta" sheetId="17" r:id="rId5"/>
    <sheet name="Mauricio_Asencio" sheetId="18" r:id="rId6"/>
    <sheet name="Ivan_Ibarra" sheetId="19" r:id="rId7"/>
    <sheet name="Luis_Eduardo_Gomez" sheetId="20" r:id="rId8"/>
    <sheet name="Victor_Bonilla" sheetId="21" r:id="rId9"/>
    <sheet name="Cenaida" sheetId="22" r:id="rId10"/>
  </sheets>
  <definedNames>
    <definedName name="_xlnm._FilterDatabase" localSheetId="0" hidden="1">General!$A$4:$E$292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14" l="1"/>
  <c r="E123" i="14"/>
  <c r="J133" i="18"/>
  <c r="E183" i="14"/>
  <c r="D176" i="14"/>
  <c r="J129" i="22"/>
  <c r="J128" i="22"/>
  <c r="J130" i="22"/>
  <c r="J119" i="22"/>
  <c r="J127" i="22"/>
  <c r="J91" i="22"/>
  <c r="J90" i="22"/>
  <c r="J87" i="22"/>
  <c r="J88" i="22"/>
  <c r="J89" i="22"/>
  <c r="J65" i="22"/>
  <c r="J69" i="22"/>
  <c r="L36" i="22"/>
  <c r="N7" i="22"/>
  <c r="N8" i="22"/>
  <c r="N26" i="22"/>
  <c r="N25" i="22"/>
  <c r="N23" i="22"/>
  <c r="L24" i="22"/>
  <c r="N12" i="22" s="1"/>
  <c r="J126" i="22"/>
  <c r="J125" i="22"/>
  <c r="J124" i="22"/>
  <c r="J123" i="22"/>
  <c r="F123" i="22"/>
  <c r="J122" i="22"/>
  <c r="F122" i="22"/>
  <c r="J121" i="22"/>
  <c r="F121" i="22"/>
  <c r="J120" i="22"/>
  <c r="F120" i="22"/>
  <c r="F119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F101" i="22"/>
  <c r="J100" i="22"/>
  <c r="F100" i="22"/>
  <c r="J99" i="22"/>
  <c r="F99" i="22"/>
  <c r="J98" i="22"/>
  <c r="F98" i="22"/>
  <c r="J97" i="22"/>
  <c r="F97" i="22"/>
  <c r="J96" i="22"/>
  <c r="F96" i="22"/>
  <c r="J95" i="22"/>
  <c r="F95" i="22"/>
  <c r="J94" i="22"/>
  <c r="F94" i="22"/>
  <c r="J93" i="22"/>
  <c r="F93" i="22"/>
  <c r="F92" i="22"/>
  <c r="J86" i="22"/>
  <c r="F86" i="22"/>
  <c r="J85" i="22"/>
  <c r="F85" i="22"/>
  <c r="J84" i="22"/>
  <c r="F84" i="22"/>
  <c r="J83" i="22"/>
  <c r="F83" i="22"/>
  <c r="J82" i="22"/>
  <c r="F82" i="22"/>
  <c r="J81" i="22"/>
  <c r="F81" i="22"/>
  <c r="J80" i="22"/>
  <c r="F80" i="22"/>
  <c r="J79" i="22"/>
  <c r="F79" i="22"/>
  <c r="J78" i="22"/>
  <c r="F78" i="22"/>
  <c r="J77" i="22"/>
  <c r="F77" i="22"/>
  <c r="J68" i="22"/>
  <c r="J67" i="22"/>
  <c r="F67" i="22"/>
  <c r="J66" i="22"/>
  <c r="F66" i="22"/>
  <c r="J59" i="22"/>
  <c r="J57" i="22"/>
  <c r="J56" i="22"/>
  <c r="J55" i="22"/>
  <c r="J54" i="22"/>
  <c r="F54" i="22"/>
  <c r="J53" i="22"/>
  <c r="J52" i="22"/>
  <c r="J51" i="22"/>
  <c r="J50" i="22"/>
  <c r="J49" i="22"/>
  <c r="J48" i="22"/>
  <c r="J47" i="22"/>
  <c r="F47" i="22"/>
  <c r="J46" i="22"/>
  <c r="J45" i="22"/>
  <c r="F45" i="22"/>
  <c r="J44" i="22"/>
  <c r="F44" i="22"/>
  <c r="J43" i="22"/>
  <c r="F43" i="22"/>
  <c r="J42" i="22"/>
  <c r="F42" i="22"/>
  <c r="J41" i="22"/>
  <c r="J40" i="22"/>
  <c r="F40" i="22"/>
  <c r="J38" i="22"/>
  <c r="J37" i="22"/>
  <c r="J36" i="22"/>
  <c r="F36" i="22"/>
  <c r="J35" i="22"/>
  <c r="F35" i="22"/>
  <c r="J34" i="22"/>
  <c r="J33" i="22"/>
  <c r="F33" i="22"/>
  <c r="J32" i="22"/>
  <c r="J31" i="22"/>
  <c r="J30" i="22"/>
  <c r="F30" i="22"/>
  <c r="J29" i="22"/>
  <c r="J28" i="22"/>
  <c r="F28" i="22"/>
  <c r="J27" i="22"/>
  <c r="F27" i="22"/>
  <c r="J26" i="22"/>
  <c r="J25" i="22"/>
  <c r="F25" i="22"/>
  <c r="J24" i="22"/>
  <c r="F24" i="22"/>
  <c r="F18" i="22"/>
  <c r="F17" i="22"/>
  <c r="J16" i="22"/>
  <c r="F16" i="22"/>
  <c r="J15" i="22"/>
  <c r="F15" i="22"/>
  <c r="J14" i="22"/>
  <c r="F14" i="22"/>
  <c r="J13" i="22"/>
  <c r="F13" i="22"/>
  <c r="J12" i="22"/>
  <c r="J11" i="22"/>
  <c r="F11" i="22"/>
  <c r="L64" i="21"/>
  <c r="L68" i="21"/>
  <c r="P14" i="21"/>
  <c r="O18" i="21"/>
  <c r="O11" i="21"/>
  <c r="N13" i="21"/>
  <c r="L18" i="21"/>
  <c r="L14" i="21"/>
  <c r="L20" i="21" s="1"/>
  <c r="L29" i="21" s="1"/>
  <c r="J124" i="21"/>
  <c r="J123" i="21"/>
  <c r="J122" i="21"/>
  <c r="J121" i="21"/>
  <c r="F121" i="21"/>
  <c r="J120" i="21"/>
  <c r="F120" i="21"/>
  <c r="J119" i="21"/>
  <c r="F119" i="21"/>
  <c r="J118" i="21"/>
  <c r="F118" i="21"/>
  <c r="J117" i="21"/>
  <c r="F117" i="21"/>
  <c r="F126" i="21" s="1"/>
  <c r="J110" i="21"/>
  <c r="J109" i="21"/>
  <c r="J108" i="21"/>
  <c r="J107" i="21"/>
  <c r="J106" i="21"/>
  <c r="J105" i="21"/>
  <c r="J104" i="21"/>
  <c r="J103" i="21"/>
  <c r="J102" i="21"/>
  <c r="J101" i="21"/>
  <c r="J100" i="21"/>
  <c r="J99" i="21"/>
  <c r="F99" i="21"/>
  <c r="J98" i="21"/>
  <c r="F98" i="21"/>
  <c r="J97" i="21"/>
  <c r="F97" i="21"/>
  <c r="J96" i="21"/>
  <c r="F96" i="21"/>
  <c r="J95" i="21"/>
  <c r="F95" i="21"/>
  <c r="J94" i="21"/>
  <c r="F94" i="21"/>
  <c r="J93" i="21"/>
  <c r="F93" i="21"/>
  <c r="J92" i="21"/>
  <c r="F92" i="21"/>
  <c r="J91" i="21"/>
  <c r="F91" i="21"/>
  <c r="F90" i="21"/>
  <c r="J86" i="21"/>
  <c r="F86" i="21"/>
  <c r="J85" i="21"/>
  <c r="F85" i="21"/>
  <c r="J84" i="21"/>
  <c r="F84" i="21"/>
  <c r="J83" i="21"/>
  <c r="F83" i="21"/>
  <c r="J82" i="21"/>
  <c r="F82" i="21"/>
  <c r="J81" i="21"/>
  <c r="F81" i="21"/>
  <c r="J80" i="21"/>
  <c r="F80" i="21"/>
  <c r="J79" i="21"/>
  <c r="F79" i="21"/>
  <c r="J78" i="21"/>
  <c r="F78" i="21"/>
  <c r="J77" i="21"/>
  <c r="F77" i="21"/>
  <c r="J67" i="21"/>
  <c r="J66" i="21"/>
  <c r="F66" i="21"/>
  <c r="J65" i="21"/>
  <c r="F65" i="21"/>
  <c r="F72" i="21" s="1"/>
  <c r="J64" i="21"/>
  <c r="J58" i="21"/>
  <c r="J57" i="21"/>
  <c r="J56" i="21"/>
  <c r="J55" i="21"/>
  <c r="J54" i="21"/>
  <c r="F54" i="21"/>
  <c r="J53" i="21"/>
  <c r="J52" i="21"/>
  <c r="J51" i="21"/>
  <c r="J50" i="21"/>
  <c r="J49" i="21"/>
  <c r="J48" i="21"/>
  <c r="J47" i="21"/>
  <c r="F47" i="21"/>
  <c r="J46" i="21"/>
  <c r="J45" i="21"/>
  <c r="F45" i="21"/>
  <c r="J44" i="21"/>
  <c r="F44" i="21"/>
  <c r="J43" i="21"/>
  <c r="F43" i="21"/>
  <c r="J42" i="21"/>
  <c r="F42" i="21"/>
  <c r="J41" i="21"/>
  <c r="J40" i="21"/>
  <c r="F40" i="21"/>
  <c r="J38" i="21"/>
  <c r="J37" i="21"/>
  <c r="J36" i="21"/>
  <c r="F36" i="21"/>
  <c r="J35" i="21"/>
  <c r="F35" i="21"/>
  <c r="J34" i="21"/>
  <c r="J33" i="21"/>
  <c r="F33" i="21"/>
  <c r="J32" i="21"/>
  <c r="J31" i="21"/>
  <c r="J30" i="21"/>
  <c r="F30" i="21"/>
  <c r="J29" i="21"/>
  <c r="J28" i="21"/>
  <c r="F28" i="21"/>
  <c r="J27" i="21"/>
  <c r="F27" i="21"/>
  <c r="J26" i="21"/>
  <c r="J25" i="21"/>
  <c r="F25" i="21"/>
  <c r="J24" i="21"/>
  <c r="F24" i="21"/>
  <c r="F18" i="21"/>
  <c r="F17" i="21"/>
  <c r="J16" i="21"/>
  <c r="F16" i="21"/>
  <c r="J15" i="21"/>
  <c r="F15" i="21"/>
  <c r="J14" i="21"/>
  <c r="F14" i="21"/>
  <c r="J13" i="21"/>
  <c r="F13" i="21"/>
  <c r="J12" i="21"/>
  <c r="J11" i="21"/>
  <c r="D11" i="19"/>
  <c r="N18" i="19"/>
  <c r="K11" i="19"/>
  <c r="L30" i="19"/>
  <c r="J115" i="19"/>
  <c r="J76" i="19"/>
  <c r="N66" i="19"/>
  <c r="N68" i="19"/>
  <c r="J68" i="19"/>
  <c r="J69" i="19"/>
  <c r="J70" i="19"/>
  <c r="J71" i="19"/>
  <c r="J72" i="19"/>
  <c r="J73" i="19"/>
  <c r="G120" i="19"/>
  <c r="J19" i="22" l="1"/>
  <c r="J133" i="22" s="1"/>
  <c r="J114" i="22"/>
  <c r="F131" i="22"/>
  <c r="F72" i="22"/>
  <c r="N16" i="22"/>
  <c r="J131" i="22"/>
  <c r="F60" i="22"/>
  <c r="L29" i="22"/>
  <c r="F19" i="22"/>
  <c r="F114" i="22"/>
  <c r="J60" i="22"/>
  <c r="J72" i="22"/>
  <c r="F112" i="21"/>
  <c r="J112" i="21"/>
  <c r="J126" i="21"/>
  <c r="F59" i="21"/>
  <c r="J59" i="21"/>
  <c r="J19" i="21"/>
  <c r="J72" i="21"/>
  <c r="F11" i="21"/>
  <c r="F19" i="21" s="1"/>
  <c r="F128" i="21" s="1"/>
  <c r="F91" i="19"/>
  <c r="J40" i="19"/>
  <c r="O11" i="19"/>
  <c r="N13" i="19"/>
  <c r="H65" i="20"/>
  <c r="H66" i="20"/>
  <c r="J66" i="20" s="1"/>
  <c r="H67" i="20"/>
  <c r="J67" i="20" s="1"/>
  <c r="H64" i="20"/>
  <c r="J64" i="20" s="1"/>
  <c r="L68" i="20"/>
  <c r="D11" i="20"/>
  <c r="P14" i="20" s="1"/>
  <c r="O11" i="20"/>
  <c r="N16" i="20"/>
  <c r="N14" i="20"/>
  <c r="N13" i="20"/>
  <c r="J127" i="20"/>
  <c r="J126" i="20"/>
  <c r="J125" i="20"/>
  <c r="J124" i="20"/>
  <c r="F124" i="20"/>
  <c r="J123" i="20"/>
  <c r="F123" i="20"/>
  <c r="J122" i="20"/>
  <c r="J129" i="20" s="1"/>
  <c r="F122" i="20"/>
  <c r="J121" i="20"/>
  <c r="F121" i="20"/>
  <c r="J120" i="20"/>
  <c r="F120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F102" i="20"/>
  <c r="J101" i="20"/>
  <c r="F101" i="20"/>
  <c r="J100" i="20"/>
  <c r="F100" i="20"/>
  <c r="J99" i="20"/>
  <c r="F99" i="20"/>
  <c r="J98" i="20"/>
  <c r="F98" i="20"/>
  <c r="J97" i="20"/>
  <c r="F97" i="20"/>
  <c r="J96" i="20"/>
  <c r="F96" i="20"/>
  <c r="J95" i="20"/>
  <c r="F95" i="20"/>
  <c r="J94" i="20"/>
  <c r="F94" i="20"/>
  <c r="F93" i="20"/>
  <c r="J89" i="20"/>
  <c r="F89" i="20"/>
  <c r="J88" i="20"/>
  <c r="F88" i="20"/>
  <c r="J87" i="20"/>
  <c r="F87" i="20"/>
  <c r="J86" i="20"/>
  <c r="F86" i="20"/>
  <c r="J85" i="20"/>
  <c r="F85" i="20"/>
  <c r="J84" i="20"/>
  <c r="F84" i="20"/>
  <c r="J83" i="20"/>
  <c r="F83" i="20"/>
  <c r="J82" i="20"/>
  <c r="F82" i="20"/>
  <c r="J81" i="20"/>
  <c r="F81" i="20"/>
  <c r="J80" i="20"/>
  <c r="F80" i="20"/>
  <c r="J74" i="20"/>
  <c r="J73" i="20"/>
  <c r="J72" i="20"/>
  <c r="F66" i="20"/>
  <c r="J65" i="20"/>
  <c r="F65" i="20"/>
  <c r="F75" i="20" s="1"/>
  <c r="L64" i="20"/>
  <c r="J58" i="20"/>
  <c r="J57" i="20"/>
  <c r="J56" i="20"/>
  <c r="J55" i="20"/>
  <c r="J54" i="20"/>
  <c r="F54" i="20"/>
  <c r="J53" i="20"/>
  <c r="J52" i="20"/>
  <c r="J51" i="20"/>
  <c r="J50" i="20"/>
  <c r="J49" i="20"/>
  <c r="J48" i="20"/>
  <c r="J47" i="20"/>
  <c r="F47" i="20"/>
  <c r="J46" i="20"/>
  <c r="J45" i="20"/>
  <c r="F45" i="20"/>
  <c r="J44" i="20"/>
  <c r="F44" i="20"/>
  <c r="J43" i="20"/>
  <c r="F43" i="20"/>
  <c r="J42" i="20"/>
  <c r="F42" i="20"/>
  <c r="J41" i="20"/>
  <c r="J40" i="20"/>
  <c r="F40" i="20"/>
  <c r="J38" i="20"/>
  <c r="J37" i="20"/>
  <c r="J36" i="20"/>
  <c r="F36" i="20"/>
  <c r="J35" i="20"/>
  <c r="F35" i="20"/>
  <c r="J34" i="20"/>
  <c r="J33" i="20"/>
  <c r="F33" i="20"/>
  <c r="J32" i="20"/>
  <c r="J31" i="20"/>
  <c r="J30" i="20"/>
  <c r="F30" i="20"/>
  <c r="L29" i="20"/>
  <c r="J29" i="20"/>
  <c r="J28" i="20"/>
  <c r="F28" i="20"/>
  <c r="J27" i="20"/>
  <c r="F27" i="20"/>
  <c r="J26" i="20"/>
  <c r="J25" i="20"/>
  <c r="F25" i="20"/>
  <c r="J24" i="20"/>
  <c r="F24" i="20"/>
  <c r="F18" i="20"/>
  <c r="F17" i="20"/>
  <c r="J16" i="20"/>
  <c r="F16" i="20"/>
  <c r="J15" i="20"/>
  <c r="F15" i="20"/>
  <c r="J14" i="20"/>
  <c r="F14" i="20"/>
  <c r="J13" i="20"/>
  <c r="F13" i="20"/>
  <c r="J12" i="20"/>
  <c r="J11" i="20"/>
  <c r="F11" i="20"/>
  <c r="F15" i="19"/>
  <c r="F16" i="19"/>
  <c r="F17" i="19"/>
  <c r="F18" i="19"/>
  <c r="F19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F100" i="19"/>
  <c r="J99" i="19"/>
  <c r="F99" i="19"/>
  <c r="J98" i="19"/>
  <c r="F98" i="19"/>
  <c r="J97" i="19"/>
  <c r="F97" i="19"/>
  <c r="J96" i="19"/>
  <c r="F96" i="19"/>
  <c r="J95" i="19"/>
  <c r="F95" i="19"/>
  <c r="J94" i="19"/>
  <c r="F94" i="19"/>
  <c r="J93" i="19"/>
  <c r="F93" i="19"/>
  <c r="J92" i="19"/>
  <c r="F92" i="19"/>
  <c r="J90" i="19"/>
  <c r="F90" i="19"/>
  <c r="J89" i="19"/>
  <c r="F89" i="19"/>
  <c r="J88" i="19"/>
  <c r="F88" i="19"/>
  <c r="J87" i="19"/>
  <c r="F87" i="19"/>
  <c r="J86" i="19"/>
  <c r="F86" i="19"/>
  <c r="J85" i="19"/>
  <c r="F85" i="19"/>
  <c r="J84" i="19"/>
  <c r="F84" i="19"/>
  <c r="J83" i="19"/>
  <c r="F83" i="19"/>
  <c r="J82" i="19"/>
  <c r="F82" i="19"/>
  <c r="J81" i="19"/>
  <c r="F81" i="19"/>
  <c r="J75" i="19"/>
  <c r="J74" i="19"/>
  <c r="J67" i="19"/>
  <c r="F67" i="19"/>
  <c r="J66" i="19"/>
  <c r="F66" i="19"/>
  <c r="L65" i="19"/>
  <c r="J65" i="19"/>
  <c r="J59" i="19"/>
  <c r="J58" i="19"/>
  <c r="J57" i="19"/>
  <c r="J56" i="19"/>
  <c r="J55" i="19"/>
  <c r="F55" i="19"/>
  <c r="J54" i="19"/>
  <c r="J53" i="19"/>
  <c r="J52" i="19"/>
  <c r="J51" i="19"/>
  <c r="J50" i="19"/>
  <c r="J49" i="19"/>
  <c r="J48" i="19"/>
  <c r="F48" i="19"/>
  <c r="J47" i="19"/>
  <c r="J46" i="19"/>
  <c r="F46" i="19"/>
  <c r="J45" i="19"/>
  <c r="F45" i="19"/>
  <c r="J44" i="19"/>
  <c r="F44" i="19"/>
  <c r="J43" i="19"/>
  <c r="F43" i="19"/>
  <c r="J42" i="19"/>
  <c r="J41" i="19"/>
  <c r="F41" i="19"/>
  <c r="J39" i="19"/>
  <c r="J38" i="19"/>
  <c r="J37" i="19"/>
  <c r="F37" i="19"/>
  <c r="J36" i="19"/>
  <c r="F36" i="19"/>
  <c r="J35" i="19"/>
  <c r="J34" i="19"/>
  <c r="F34" i="19"/>
  <c r="J33" i="19"/>
  <c r="J32" i="19"/>
  <c r="J31" i="19"/>
  <c r="F31" i="19"/>
  <c r="J30" i="19"/>
  <c r="J29" i="19"/>
  <c r="F29" i="19"/>
  <c r="J28" i="19"/>
  <c r="F28" i="19"/>
  <c r="J27" i="19"/>
  <c r="J26" i="19"/>
  <c r="F26" i="19"/>
  <c r="J25" i="19"/>
  <c r="F25" i="19"/>
  <c r="J19" i="19"/>
  <c r="J18" i="19"/>
  <c r="J17" i="19"/>
  <c r="J16" i="19"/>
  <c r="J15" i="19"/>
  <c r="J14" i="19"/>
  <c r="F14" i="19"/>
  <c r="J13" i="19"/>
  <c r="F13" i="19"/>
  <c r="J12" i="19"/>
  <c r="J11" i="19"/>
  <c r="F11" i="19"/>
  <c r="J90" i="18"/>
  <c r="J91" i="18"/>
  <c r="J87" i="18"/>
  <c r="J17" i="18"/>
  <c r="G17" i="18"/>
  <c r="L66" i="18"/>
  <c r="O11" i="18"/>
  <c r="N13" i="18"/>
  <c r="L27" i="18"/>
  <c r="J129" i="18"/>
  <c r="J128" i="18"/>
  <c r="J127" i="18"/>
  <c r="J126" i="18"/>
  <c r="F126" i="18"/>
  <c r="J125" i="18"/>
  <c r="F125" i="18"/>
  <c r="J124" i="18"/>
  <c r="F124" i="18"/>
  <c r="J123" i="18"/>
  <c r="F123" i="18"/>
  <c r="J122" i="18"/>
  <c r="F122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F104" i="18"/>
  <c r="J103" i="18"/>
  <c r="F103" i="18"/>
  <c r="J102" i="18"/>
  <c r="F102" i="18"/>
  <c r="J101" i="18"/>
  <c r="F101" i="18"/>
  <c r="J100" i="18"/>
  <c r="F100" i="18"/>
  <c r="J99" i="18"/>
  <c r="F99" i="18"/>
  <c r="J98" i="18"/>
  <c r="F98" i="18"/>
  <c r="J97" i="18"/>
  <c r="F97" i="18"/>
  <c r="J96" i="18"/>
  <c r="F96" i="18"/>
  <c r="F95" i="18"/>
  <c r="F91" i="18"/>
  <c r="F90" i="18"/>
  <c r="J89" i="18"/>
  <c r="F89" i="18"/>
  <c r="J88" i="18"/>
  <c r="F88" i="18"/>
  <c r="F87" i="18"/>
  <c r="J86" i="18"/>
  <c r="F86" i="18"/>
  <c r="J85" i="18"/>
  <c r="F85" i="18"/>
  <c r="J84" i="18"/>
  <c r="F84" i="18"/>
  <c r="J83" i="18"/>
  <c r="F83" i="18"/>
  <c r="J82" i="18"/>
  <c r="F82" i="18"/>
  <c r="J76" i="18"/>
  <c r="J75" i="18"/>
  <c r="J74" i="18"/>
  <c r="J69" i="18"/>
  <c r="J68" i="18"/>
  <c r="F68" i="18"/>
  <c r="J67" i="18"/>
  <c r="F67" i="18"/>
  <c r="J66" i="18"/>
  <c r="J60" i="18"/>
  <c r="J59" i="18"/>
  <c r="J58" i="18"/>
  <c r="J57" i="18"/>
  <c r="J56" i="18"/>
  <c r="F56" i="18"/>
  <c r="J55" i="18"/>
  <c r="J54" i="18"/>
  <c r="J53" i="18"/>
  <c r="J52" i="18"/>
  <c r="J51" i="18"/>
  <c r="J50" i="18"/>
  <c r="J49" i="18"/>
  <c r="F49" i="18"/>
  <c r="J48" i="18"/>
  <c r="J47" i="18"/>
  <c r="F47" i="18"/>
  <c r="J46" i="18"/>
  <c r="F46" i="18"/>
  <c r="J45" i="18"/>
  <c r="F45" i="18"/>
  <c r="J44" i="18"/>
  <c r="F44" i="18"/>
  <c r="J43" i="18"/>
  <c r="J42" i="18"/>
  <c r="F42" i="18"/>
  <c r="J40" i="18"/>
  <c r="J39" i="18"/>
  <c r="J38" i="18"/>
  <c r="F38" i="18"/>
  <c r="J37" i="18"/>
  <c r="F37" i="18"/>
  <c r="J36" i="18"/>
  <c r="J35" i="18"/>
  <c r="F35" i="18"/>
  <c r="J34" i="18"/>
  <c r="J33" i="18"/>
  <c r="J32" i="18"/>
  <c r="F32" i="18"/>
  <c r="J31" i="18"/>
  <c r="J30" i="18"/>
  <c r="F30" i="18"/>
  <c r="J29" i="18"/>
  <c r="F29" i="18"/>
  <c r="J28" i="18"/>
  <c r="J27" i="18"/>
  <c r="F27" i="18"/>
  <c r="J26" i="18"/>
  <c r="F26" i="18"/>
  <c r="J20" i="18"/>
  <c r="J19" i="18"/>
  <c r="J18" i="18"/>
  <c r="J16" i="18"/>
  <c r="J15" i="18"/>
  <c r="J14" i="18"/>
  <c r="F14" i="18"/>
  <c r="J13" i="18"/>
  <c r="F13" i="18"/>
  <c r="J12" i="18"/>
  <c r="J11" i="18"/>
  <c r="F11" i="18"/>
  <c r="J132" i="17"/>
  <c r="F130" i="17"/>
  <c r="J130" i="17"/>
  <c r="F121" i="17"/>
  <c r="J128" i="17"/>
  <c r="J127" i="17"/>
  <c r="J126" i="17"/>
  <c r="J125" i="17"/>
  <c r="F125" i="17"/>
  <c r="J124" i="17"/>
  <c r="F124" i="17"/>
  <c r="J123" i="17"/>
  <c r="F123" i="17"/>
  <c r="J122" i="17"/>
  <c r="F122" i="17"/>
  <c r="J121" i="17"/>
  <c r="J95" i="17"/>
  <c r="J96" i="17"/>
  <c r="J85" i="17"/>
  <c r="J86" i="17"/>
  <c r="J87" i="17"/>
  <c r="J88" i="17"/>
  <c r="J89" i="17"/>
  <c r="J90" i="17"/>
  <c r="J91" i="17"/>
  <c r="J84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J17" i="17"/>
  <c r="J18" i="17"/>
  <c r="J19" i="17"/>
  <c r="J20" i="17"/>
  <c r="G17" i="17"/>
  <c r="M21" i="17"/>
  <c r="K13" i="17"/>
  <c r="K20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F86" i="17"/>
  <c r="F85" i="17"/>
  <c r="F84" i="17"/>
  <c r="F116" i="17" s="1"/>
  <c r="J78" i="17"/>
  <c r="J77" i="17"/>
  <c r="J76" i="17"/>
  <c r="J75" i="17"/>
  <c r="J74" i="17"/>
  <c r="J73" i="17"/>
  <c r="J72" i="17"/>
  <c r="J71" i="17"/>
  <c r="F71" i="17"/>
  <c r="J70" i="17"/>
  <c r="F70" i="17"/>
  <c r="J69" i="17"/>
  <c r="F69" i="17"/>
  <c r="J68" i="17"/>
  <c r="F68" i="17"/>
  <c r="J67" i="17"/>
  <c r="J61" i="17"/>
  <c r="J60" i="17"/>
  <c r="J59" i="17"/>
  <c r="J58" i="17"/>
  <c r="J57" i="17"/>
  <c r="F57" i="17"/>
  <c r="J56" i="17"/>
  <c r="J55" i="17"/>
  <c r="J54" i="17"/>
  <c r="J53" i="17"/>
  <c r="J52" i="17"/>
  <c r="J51" i="17"/>
  <c r="J50" i="17"/>
  <c r="F50" i="17"/>
  <c r="J49" i="17"/>
  <c r="J48" i="17"/>
  <c r="F48" i="17"/>
  <c r="J47" i="17"/>
  <c r="F47" i="17"/>
  <c r="J46" i="17"/>
  <c r="F46" i="17"/>
  <c r="J45" i="17"/>
  <c r="F45" i="17"/>
  <c r="J44" i="17"/>
  <c r="J43" i="17"/>
  <c r="F43" i="17"/>
  <c r="J41" i="17"/>
  <c r="J40" i="17"/>
  <c r="J39" i="17"/>
  <c r="F39" i="17"/>
  <c r="J38" i="17"/>
  <c r="F38" i="17"/>
  <c r="J37" i="17"/>
  <c r="J36" i="17"/>
  <c r="F36" i="17"/>
  <c r="J35" i="17"/>
  <c r="J34" i="17"/>
  <c r="J33" i="17"/>
  <c r="F33" i="17"/>
  <c r="J32" i="17"/>
  <c r="J31" i="17"/>
  <c r="F31" i="17"/>
  <c r="J30" i="17"/>
  <c r="F30" i="17"/>
  <c r="J28" i="17"/>
  <c r="J27" i="17"/>
  <c r="F27" i="17"/>
  <c r="J26" i="17"/>
  <c r="F26" i="17"/>
  <c r="J16" i="17"/>
  <c r="J15" i="17"/>
  <c r="J14" i="17"/>
  <c r="F14" i="17"/>
  <c r="J13" i="17"/>
  <c r="F13" i="17"/>
  <c r="J12" i="17"/>
  <c r="J11" i="17"/>
  <c r="F11" i="17"/>
  <c r="J87" i="16"/>
  <c r="J75" i="16"/>
  <c r="J69" i="16"/>
  <c r="L113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6" i="16"/>
  <c r="J85" i="16"/>
  <c r="J84" i="16"/>
  <c r="J83" i="16"/>
  <c r="F83" i="16"/>
  <c r="J82" i="16"/>
  <c r="F82" i="16"/>
  <c r="J81" i="16"/>
  <c r="F81" i="16"/>
  <c r="J74" i="16"/>
  <c r="J73" i="16"/>
  <c r="J72" i="16"/>
  <c r="J71" i="16"/>
  <c r="J68" i="16"/>
  <c r="J67" i="16"/>
  <c r="J70" i="16"/>
  <c r="F68" i="16"/>
  <c r="F67" i="16"/>
  <c r="J66" i="16"/>
  <c r="F66" i="16"/>
  <c r="J65" i="16"/>
  <c r="F65" i="16"/>
  <c r="F76" i="16" s="1"/>
  <c r="J64" i="16"/>
  <c r="J58" i="16"/>
  <c r="J57" i="16"/>
  <c r="J56" i="16"/>
  <c r="J55" i="16"/>
  <c r="J54" i="16"/>
  <c r="F54" i="16"/>
  <c r="J53" i="16"/>
  <c r="J52" i="16"/>
  <c r="J51" i="16"/>
  <c r="J50" i="16"/>
  <c r="J49" i="16"/>
  <c r="J48" i="16"/>
  <c r="J47" i="16"/>
  <c r="F47" i="16"/>
  <c r="J46" i="16"/>
  <c r="J45" i="16"/>
  <c r="F45" i="16"/>
  <c r="J44" i="16"/>
  <c r="F44" i="16"/>
  <c r="J43" i="16"/>
  <c r="F43" i="16"/>
  <c r="J42" i="16"/>
  <c r="F42" i="16"/>
  <c r="J41" i="16"/>
  <c r="J40" i="16"/>
  <c r="F40" i="16"/>
  <c r="J38" i="16"/>
  <c r="J37" i="16"/>
  <c r="J36" i="16"/>
  <c r="F36" i="16"/>
  <c r="J35" i="16"/>
  <c r="F35" i="16"/>
  <c r="J34" i="16"/>
  <c r="J33" i="16"/>
  <c r="F33" i="16"/>
  <c r="J32" i="16"/>
  <c r="J31" i="16"/>
  <c r="J30" i="16"/>
  <c r="F30" i="16"/>
  <c r="J29" i="16"/>
  <c r="J28" i="16"/>
  <c r="F28" i="16"/>
  <c r="J27" i="16"/>
  <c r="F27" i="16"/>
  <c r="J25" i="16"/>
  <c r="J24" i="16"/>
  <c r="F24" i="16"/>
  <c r="J23" i="16"/>
  <c r="F23" i="16"/>
  <c r="J17" i="16"/>
  <c r="J16" i="16"/>
  <c r="J15" i="16"/>
  <c r="J14" i="16"/>
  <c r="F14" i="16"/>
  <c r="J13" i="16"/>
  <c r="F13" i="16"/>
  <c r="F18" i="16" s="1"/>
  <c r="J12" i="16"/>
  <c r="J11" i="16"/>
  <c r="F11" i="16"/>
  <c r="L118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F92" i="15"/>
  <c r="J91" i="15"/>
  <c r="F91" i="15"/>
  <c r="J90" i="15"/>
  <c r="F90" i="15"/>
  <c r="J89" i="15"/>
  <c r="F89" i="15"/>
  <c r="J88" i="15"/>
  <c r="F88" i="15"/>
  <c r="J87" i="15"/>
  <c r="F87" i="15"/>
  <c r="J86" i="15"/>
  <c r="F86" i="15"/>
  <c r="J85" i="15"/>
  <c r="F85" i="15"/>
  <c r="J84" i="15"/>
  <c r="F84" i="15"/>
  <c r="J83" i="15"/>
  <c r="F83" i="15"/>
  <c r="J77" i="15"/>
  <c r="J76" i="15"/>
  <c r="J75" i="15"/>
  <c r="J74" i="15"/>
  <c r="J73" i="15"/>
  <c r="J72" i="15"/>
  <c r="J71" i="15"/>
  <c r="J70" i="15"/>
  <c r="J69" i="15"/>
  <c r="J68" i="15"/>
  <c r="F68" i="15"/>
  <c r="J67" i="15"/>
  <c r="F67" i="15"/>
  <c r="J66" i="15"/>
  <c r="F66" i="15"/>
  <c r="J65" i="15"/>
  <c r="F65" i="15"/>
  <c r="J64" i="15"/>
  <c r="J58" i="15"/>
  <c r="J57" i="15"/>
  <c r="J56" i="15"/>
  <c r="J55" i="15"/>
  <c r="J54" i="15"/>
  <c r="F54" i="15"/>
  <c r="J53" i="15"/>
  <c r="J52" i="15"/>
  <c r="J51" i="15"/>
  <c r="J50" i="15"/>
  <c r="J49" i="15"/>
  <c r="J48" i="15"/>
  <c r="J47" i="15"/>
  <c r="F47" i="15"/>
  <c r="J46" i="15"/>
  <c r="J45" i="15"/>
  <c r="F45" i="15"/>
  <c r="J44" i="15"/>
  <c r="F44" i="15"/>
  <c r="J43" i="15"/>
  <c r="F43" i="15"/>
  <c r="J42" i="15"/>
  <c r="F42" i="15"/>
  <c r="J41" i="15"/>
  <c r="J40" i="15"/>
  <c r="F40" i="15"/>
  <c r="J38" i="15"/>
  <c r="J37" i="15"/>
  <c r="J36" i="15"/>
  <c r="F36" i="15"/>
  <c r="J35" i="15"/>
  <c r="F35" i="15"/>
  <c r="J34" i="15"/>
  <c r="J33" i="15"/>
  <c r="F33" i="15"/>
  <c r="J32" i="15"/>
  <c r="J31" i="15"/>
  <c r="J30" i="15"/>
  <c r="F30" i="15"/>
  <c r="J29" i="15"/>
  <c r="J28" i="15"/>
  <c r="F28" i="15"/>
  <c r="J27" i="15"/>
  <c r="F27" i="15"/>
  <c r="J25" i="15"/>
  <c r="J24" i="15"/>
  <c r="F24" i="15"/>
  <c r="J23" i="15"/>
  <c r="F23" i="15"/>
  <c r="J17" i="15"/>
  <c r="J16" i="15"/>
  <c r="J15" i="15"/>
  <c r="J14" i="15"/>
  <c r="F14" i="15"/>
  <c r="J13" i="15"/>
  <c r="F13" i="15"/>
  <c r="J12" i="15"/>
  <c r="J11" i="15"/>
  <c r="F11" i="15"/>
  <c r="E286" i="14"/>
  <c r="E283" i="14"/>
  <c r="E282" i="14"/>
  <c r="E276" i="14"/>
  <c r="E275" i="14"/>
  <c r="E274" i="14"/>
  <c r="E271" i="14"/>
  <c r="J37" i="8"/>
  <c r="E268" i="14"/>
  <c r="J51" i="8"/>
  <c r="E267" i="14"/>
  <c r="E262" i="14"/>
  <c r="E260" i="14"/>
  <c r="E258" i="14"/>
  <c r="E253" i="14"/>
  <c r="E252" i="14"/>
  <c r="E245" i="14"/>
  <c r="E241" i="14"/>
  <c r="E239" i="14"/>
  <c r="E237" i="14"/>
  <c r="E226" i="14"/>
  <c r="E225" i="14"/>
  <c r="E224" i="14"/>
  <c r="E223" i="14"/>
  <c r="E222" i="14"/>
  <c r="E221" i="14"/>
  <c r="E220" i="14"/>
  <c r="E219" i="14"/>
  <c r="E218" i="14"/>
  <c r="E217" i="14"/>
  <c r="E216" i="14"/>
  <c r="E214" i="14"/>
  <c r="E204" i="14"/>
  <c r="E203" i="14"/>
  <c r="E201" i="14"/>
  <c r="E194" i="14"/>
  <c r="E188" i="14"/>
  <c r="E166" i="14"/>
  <c r="E165" i="14"/>
  <c r="E156" i="14"/>
  <c r="E152" i="14"/>
  <c r="E149" i="14"/>
  <c r="E145" i="14"/>
  <c r="E144" i="14"/>
  <c r="E141" i="14"/>
  <c r="E128" i="14"/>
  <c r="E127" i="14"/>
  <c r="E126" i="14"/>
  <c r="E112" i="14"/>
  <c r="E104" i="14"/>
  <c r="E103" i="14"/>
  <c r="E101" i="14"/>
  <c r="E89" i="14"/>
  <c r="E178" i="14"/>
  <c r="E84" i="14"/>
  <c r="E82" i="14"/>
  <c r="E81" i="14"/>
  <c r="E78" i="14"/>
  <c r="E73" i="14"/>
  <c r="E71" i="14"/>
  <c r="E68" i="14"/>
  <c r="E63" i="14"/>
  <c r="E64" i="14"/>
  <c r="E61" i="14"/>
  <c r="E59" i="14"/>
  <c r="E36" i="14"/>
  <c r="E33" i="14"/>
  <c r="E32" i="14"/>
  <c r="E29" i="14"/>
  <c r="E26" i="14"/>
  <c r="E12" i="14"/>
  <c r="E9" i="14"/>
  <c r="E8" i="14"/>
  <c r="E7" i="14"/>
  <c r="E6" i="14"/>
  <c r="J126" i="8"/>
  <c r="L139" i="8"/>
  <c r="F133" i="22" l="1"/>
  <c r="J128" i="21"/>
  <c r="F76" i="19"/>
  <c r="F20" i="19"/>
  <c r="J60" i="19"/>
  <c r="F60" i="19"/>
  <c r="F113" i="19"/>
  <c r="J113" i="19"/>
  <c r="F115" i="20"/>
  <c r="J115" i="20"/>
  <c r="F129" i="20"/>
  <c r="F59" i="20"/>
  <c r="J75" i="20"/>
  <c r="J59" i="20"/>
  <c r="J19" i="20"/>
  <c r="F19" i="20"/>
  <c r="F131" i="20" s="1"/>
  <c r="J20" i="19"/>
  <c r="F117" i="18"/>
  <c r="F131" i="18"/>
  <c r="J61" i="18"/>
  <c r="J77" i="18"/>
  <c r="J117" i="18"/>
  <c r="J131" i="18"/>
  <c r="F77" i="18"/>
  <c r="F21" i="18"/>
  <c r="F61" i="18"/>
  <c r="J21" i="18"/>
  <c r="J21" i="17"/>
  <c r="F21" i="17"/>
  <c r="J62" i="17"/>
  <c r="J79" i="17"/>
  <c r="F62" i="17"/>
  <c r="F79" i="17"/>
  <c r="J116" i="17"/>
  <c r="J110" i="16"/>
  <c r="J59" i="16"/>
  <c r="J18" i="16"/>
  <c r="F59" i="16"/>
  <c r="F110" i="16"/>
  <c r="J76" i="16"/>
  <c r="J112" i="16" s="1"/>
  <c r="J18" i="15"/>
  <c r="J78" i="15"/>
  <c r="F18" i="15"/>
  <c r="J59" i="15"/>
  <c r="F59" i="15"/>
  <c r="F78" i="15"/>
  <c r="F115" i="15"/>
  <c r="J115" i="15"/>
  <c r="B224" i="14"/>
  <c r="D224" i="14" s="1"/>
  <c r="B223" i="14"/>
  <c r="D223" i="14" s="1"/>
  <c r="B222" i="14"/>
  <c r="D222" i="14" s="1"/>
  <c r="B221" i="14"/>
  <c r="D221" i="14" s="1"/>
  <c r="B220" i="14"/>
  <c r="D220" i="14" s="1"/>
  <c r="B219" i="14"/>
  <c r="D219" i="14" s="1"/>
  <c r="B201" i="14"/>
  <c r="D201" i="14" s="1"/>
  <c r="B12" i="14"/>
  <c r="D12" i="14" s="1"/>
  <c r="B81" i="14"/>
  <c r="D81" i="14" s="1"/>
  <c r="B78" i="14"/>
  <c r="D78" i="14" s="1"/>
  <c r="B112" i="14"/>
  <c r="D112" i="14" s="1"/>
  <c r="B194" i="14"/>
  <c r="D194" i="14" s="1"/>
  <c r="B252" i="14"/>
  <c r="D252" i="14" s="1"/>
  <c r="B7" i="14"/>
  <c r="D7" i="14" s="1"/>
  <c r="B8" i="14"/>
  <c r="D8" i="14" s="1"/>
  <c r="B6" i="14"/>
  <c r="D6" i="14" s="1"/>
  <c r="B9" i="14"/>
  <c r="D9" i="14" s="1"/>
  <c r="G131" i="8" a="1"/>
  <c r="G131" i="8" s="1"/>
  <c r="G130" i="8"/>
  <c r="G129" i="8"/>
  <c r="G128" i="8"/>
  <c r="G127" i="8"/>
  <c r="G125" i="8"/>
  <c r="C292" i="14"/>
  <c r="B291" i="14"/>
  <c r="D291" i="14" s="1"/>
  <c r="B290" i="14"/>
  <c r="D290" i="14" s="1"/>
  <c r="B289" i="14"/>
  <c r="D289" i="14" s="1"/>
  <c r="B288" i="14"/>
  <c r="D288" i="14" s="1"/>
  <c r="B287" i="14"/>
  <c r="D287" i="14" s="1"/>
  <c r="B286" i="14"/>
  <c r="D286" i="14" s="1"/>
  <c r="B285" i="14"/>
  <c r="D285" i="14" s="1"/>
  <c r="B284" i="14"/>
  <c r="D284" i="14" s="1"/>
  <c r="B283" i="14"/>
  <c r="D283" i="14" s="1"/>
  <c r="B282" i="14"/>
  <c r="D282" i="14" s="1"/>
  <c r="B281" i="14"/>
  <c r="D281" i="14" s="1"/>
  <c r="B280" i="14"/>
  <c r="D280" i="14" s="1"/>
  <c r="B279" i="14"/>
  <c r="D279" i="14" s="1"/>
  <c r="B278" i="14"/>
  <c r="D278" i="14" s="1"/>
  <c r="B277" i="14"/>
  <c r="D277" i="14" s="1"/>
  <c r="B276" i="14"/>
  <c r="D276" i="14" s="1"/>
  <c r="B275" i="14"/>
  <c r="D275" i="14" s="1"/>
  <c r="B274" i="14"/>
  <c r="D274" i="14" s="1"/>
  <c r="B273" i="14"/>
  <c r="D273" i="14" s="1"/>
  <c r="B272" i="14"/>
  <c r="D272" i="14" s="1"/>
  <c r="B271" i="14"/>
  <c r="D271" i="14" s="1"/>
  <c r="B270" i="14"/>
  <c r="D270" i="14" s="1"/>
  <c r="B269" i="14"/>
  <c r="D269" i="14" s="1"/>
  <c r="B268" i="14"/>
  <c r="D268" i="14" s="1"/>
  <c r="B267" i="14"/>
  <c r="D267" i="14" s="1"/>
  <c r="B266" i="14"/>
  <c r="D266" i="14" s="1"/>
  <c r="B265" i="14"/>
  <c r="D265" i="14" s="1"/>
  <c r="B264" i="14"/>
  <c r="D264" i="14" s="1"/>
  <c r="B263" i="14"/>
  <c r="D263" i="14" s="1"/>
  <c r="B262" i="14"/>
  <c r="D262" i="14" s="1"/>
  <c r="B261" i="14"/>
  <c r="D261" i="14" s="1"/>
  <c r="B260" i="14"/>
  <c r="D260" i="14" s="1"/>
  <c r="B259" i="14"/>
  <c r="D259" i="14" s="1"/>
  <c r="B258" i="14"/>
  <c r="D258" i="14" s="1"/>
  <c r="B257" i="14"/>
  <c r="D257" i="14" s="1"/>
  <c r="B256" i="14"/>
  <c r="B255" i="14"/>
  <c r="D255" i="14" s="1"/>
  <c r="B254" i="14"/>
  <c r="D254" i="14" s="1"/>
  <c r="B253" i="14"/>
  <c r="D253" i="14" s="1"/>
  <c r="B251" i="14"/>
  <c r="D251" i="14" s="1"/>
  <c r="B250" i="14"/>
  <c r="D250" i="14" s="1"/>
  <c r="B249" i="14"/>
  <c r="D249" i="14" s="1"/>
  <c r="B248" i="14"/>
  <c r="D248" i="14" s="1"/>
  <c r="B247" i="14"/>
  <c r="D247" i="14" s="1"/>
  <c r="B246" i="14"/>
  <c r="D246" i="14" s="1"/>
  <c r="B245" i="14"/>
  <c r="D245" i="14" s="1"/>
  <c r="B244" i="14"/>
  <c r="D244" i="14" s="1"/>
  <c r="B243" i="14"/>
  <c r="D243" i="14" s="1"/>
  <c r="B242" i="14"/>
  <c r="D242" i="14" s="1"/>
  <c r="B241" i="14"/>
  <c r="D241" i="14" s="1"/>
  <c r="B240" i="14"/>
  <c r="D240" i="14" s="1"/>
  <c r="B239" i="14"/>
  <c r="D239" i="14" s="1"/>
  <c r="B238" i="14"/>
  <c r="D238" i="14" s="1"/>
  <c r="B237" i="14"/>
  <c r="D237" i="14" s="1"/>
  <c r="B236" i="14"/>
  <c r="D236" i="14" s="1"/>
  <c r="B235" i="14"/>
  <c r="D235" i="14" s="1"/>
  <c r="B234" i="14"/>
  <c r="D234" i="14" s="1"/>
  <c r="B233" i="14"/>
  <c r="D233" i="14" s="1"/>
  <c r="B232" i="14"/>
  <c r="D232" i="14" s="1"/>
  <c r="B231" i="14"/>
  <c r="D231" i="14" s="1"/>
  <c r="B230" i="14"/>
  <c r="D230" i="14" s="1"/>
  <c r="B229" i="14"/>
  <c r="D229" i="14" s="1"/>
  <c r="B228" i="14"/>
  <c r="D228" i="14" s="1"/>
  <c r="B227" i="14"/>
  <c r="D227" i="14" s="1"/>
  <c r="B226" i="14"/>
  <c r="D226" i="14" s="1"/>
  <c r="B225" i="14"/>
  <c r="D225" i="14" s="1"/>
  <c r="B218" i="14"/>
  <c r="D218" i="14" s="1"/>
  <c r="B217" i="14"/>
  <c r="D217" i="14" s="1"/>
  <c r="B216" i="14"/>
  <c r="D216" i="14" s="1"/>
  <c r="B215" i="14"/>
  <c r="D215" i="14" s="1"/>
  <c r="B214" i="14"/>
  <c r="D214" i="14" s="1"/>
  <c r="B213" i="14"/>
  <c r="D213" i="14" s="1"/>
  <c r="B212" i="14"/>
  <c r="D212" i="14" s="1"/>
  <c r="B211" i="14"/>
  <c r="D211" i="14" s="1"/>
  <c r="B210" i="14"/>
  <c r="D210" i="14" s="1"/>
  <c r="B209" i="14"/>
  <c r="D209" i="14" s="1"/>
  <c r="B208" i="14"/>
  <c r="D208" i="14" s="1"/>
  <c r="B207" i="14"/>
  <c r="D207" i="14" s="1"/>
  <c r="B206" i="14"/>
  <c r="D206" i="14" s="1"/>
  <c r="B205" i="14"/>
  <c r="D205" i="14" s="1"/>
  <c r="B204" i="14"/>
  <c r="D204" i="14" s="1"/>
  <c r="B203" i="14"/>
  <c r="D203" i="14" s="1"/>
  <c r="B202" i="14"/>
  <c r="D202" i="14" s="1"/>
  <c r="B200" i="14"/>
  <c r="D200" i="14" s="1"/>
  <c r="B199" i="14"/>
  <c r="D199" i="14" s="1"/>
  <c r="B198" i="14"/>
  <c r="D198" i="14" s="1"/>
  <c r="B197" i="14"/>
  <c r="D197" i="14" s="1"/>
  <c r="B196" i="14"/>
  <c r="D196" i="14" s="1"/>
  <c r="B195" i="14"/>
  <c r="D195" i="14" s="1"/>
  <c r="B193" i="14"/>
  <c r="D193" i="14" s="1"/>
  <c r="B192" i="14"/>
  <c r="D192" i="14" s="1"/>
  <c r="B191" i="14"/>
  <c r="D191" i="14" s="1"/>
  <c r="B190" i="14"/>
  <c r="D190" i="14" s="1"/>
  <c r="B189" i="14"/>
  <c r="D189" i="14" s="1"/>
  <c r="B188" i="14"/>
  <c r="D188" i="14" s="1"/>
  <c r="B187" i="14"/>
  <c r="D187" i="14" s="1"/>
  <c r="B186" i="14"/>
  <c r="D186" i="14" s="1"/>
  <c r="B185" i="14"/>
  <c r="D185" i="14" s="1"/>
  <c r="B184" i="14"/>
  <c r="D184" i="14" s="1"/>
  <c r="B183" i="14"/>
  <c r="D183" i="14" s="1"/>
  <c r="D292" i="14" s="1"/>
  <c r="B182" i="14"/>
  <c r="D182" i="14" s="1"/>
  <c r="B181" i="14"/>
  <c r="D181" i="14" s="1"/>
  <c r="B180" i="14"/>
  <c r="D180" i="14" s="1"/>
  <c r="B116" i="14"/>
  <c r="D116" i="14" s="1"/>
  <c r="B85" i="14"/>
  <c r="D85" i="14" s="1"/>
  <c r="B174" i="14"/>
  <c r="D174" i="14" s="1"/>
  <c r="B175" i="14"/>
  <c r="D175" i="14" s="1"/>
  <c r="B177" i="14"/>
  <c r="D177" i="14" s="1"/>
  <c r="B176" i="14"/>
  <c r="B173" i="14"/>
  <c r="D173" i="14" s="1"/>
  <c r="B172" i="14"/>
  <c r="D172" i="14" s="1"/>
  <c r="B171" i="14"/>
  <c r="D171" i="14" s="1"/>
  <c r="B170" i="14"/>
  <c r="D170" i="14" s="1"/>
  <c r="B169" i="14"/>
  <c r="D169" i="14" s="1"/>
  <c r="B168" i="14"/>
  <c r="D168" i="14" s="1"/>
  <c r="B167" i="14"/>
  <c r="D167" i="14" s="1"/>
  <c r="B166" i="14"/>
  <c r="D166" i="14" s="1"/>
  <c r="B165" i="14"/>
  <c r="D165" i="14" s="1"/>
  <c r="B164" i="14"/>
  <c r="D164" i="14" s="1"/>
  <c r="B163" i="14"/>
  <c r="D163" i="14" s="1"/>
  <c r="B162" i="14"/>
  <c r="D162" i="14" s="1"/>
  <c r="B161" i="14"/>
  <c r="D161" i="14" s="1"/>
  <c r="B160" i="14"/>
  <c r="D160" i="14" s="1"/>
  <c r="B159" i="14"/>
  <c r="D159" i="14" s="1"/>
  <c r="B158" i="14"/>
  <c r="D158" i="14" s="1"/>
  <c r="B157" i="14"/>
  <c r="D157" i="14" s="1"/>
  <c r="B156" i="14"/>
  <c r="D156" i="14" s="1"/>
  <c r="B155" i="14"/>
  <c r="D155" i="14" s="1"/>
  <c r="B154" i="14"/>
  <c r="D154" i="14" s="1"/>
  <c r="B153" i="14"/>
  <c r="D153" i="14" s="1"/>
  <c r="B152" i="14"/>
  <c r="D152" i="14" s="1"/>
  <c r="B151" i="14"/>
  <c r="D151" i="14" s="1"/>
  <c r="B150" i="14"/>
  <c r="D150" i="14" s="1"/>
  <c r="B149" i="14"/>
  <c r="D149" i="14" s="1"/>
  <c r="B148" i="14"/>
  <c r="D148" i="14" s="1"/>
  <c r="B147" i="14"/>
  <c r="D147" i="14" s="1"/>
  <c r="B146" i="14"/>
  <c r="D146" i="14" s="1"/>
  <c r="B145" i="14"/>
  <c r="D145" i="14" s="1"/>
  <c r="B144" i="14"/>
  <c r="D144" i="14" s="1"/>
  <c r="B143" i="14"/>
  <c r="D143" i="14" s="1"/>
  <c r="B142" i="14"/>
  <c r="D142" i="14" s="1"/>
  <c r="B141" i="14"/>
  <c r="D141" i="14" s="1"/>
  <c r="B140" i="14"/>
  <c r="D140" i="14" s="1"/>
  <c r="B139" i="14"/>
  <c r="D139" i="14" s="1"/>
  <c r="B138" i="14"/>
  <c r="D138" i="14" s="1"/>
  <c r="B137" i="14"/>
  <c r="D137" i="14" s="1"/>
  <c r="B136" i="14"/>
  <c r="D136" i="14" s="1"/>
  <c r="B135" i="14"/>
  <c r="D135" i="14" s="1"/>
  <c r="B134" i="14"/>
  <c r="D134" i="14" s="1"/>
  <c r="B133" i="14"/>
  <c r="D133" i="14" s="1"/>
  <c r="B132" i="14"/>
  <c r="D132" i="14" s="1"/>
  <c r="B131" i="14"/>
  <c r="D131" i="14" s="1"/>
  <c r="B130" i="14"/>
  <c r="D130" i="14" s="1"/>
  <c r="B129" i="14"/>
  <c r="D129" i="14" s="1"/>
  <c r="B128" i="14"/>
  <c r="D128" i="14" s="1"/>
  <c r="B127" i="14"/>
  <c r="D127" i="14" s="1"/>
  <c r="B126" i="14"/>
  <c r="D126" i="14" s="1"/>
  <c r="B125" i="14"/>
  <c r="D125" i="14" s="1"/>
  <c r="B124" i="14"/>
  <c r="D124" i="14" s="1"/>
  <c r="B123" i="14"/>
  <c r="D123" i="14" s="1"/>
  <c r="B122" i="14"/>
  <c r="D122" i="14" s="1"/>
  <c r="B121" i="14"/>
  <c r="D121" i="14" s="1"/>
  <c r="B120" i="14"/>
  <c r="D120" i="14" s="1"/>
  <c r="B119" i="14"/>
  <c r="D119" i="14" s="1"/>
  <c r="B118" i="14"/>
  <c r="D118" i="14" s="1"/>
  <c r="B117" i="14"/>
  <c r="D117" i="14" s="1"/>
  <c r="B179" i="14"/>
  <c r="D179" i="14" s="1"/>
  <c r="B115" i="14"/>
  <c r="D115" i="14" s="1"/>
  <c r="B114" i="14"/>
  <c r="D114" i="14" s="1"/>
  <c r="B113" i="14"/>
  <c r="D113" i="14" s="1"/>
  <c r="B111" i="14"/>
  <c r="D111" i="14" s="1"/>
  <c r="B110" i="14"/>
  <c r="D110" i="14" s="1"/>
  <c r="B109" i="14"/>
  <c r="D109" i="14" s="1"/>
  <c r="B108" i="14"/>
  <c r="D108" i="14" s="1"/>
  <c r="B107" i="14"/>
  <c r="D107" i="14" s="1"/>
  <c r="B106" i="14"/>
  <c r="D106" i="14" s="1"/>
  <c r="B105" i="14"/>
  <c r="D105" i="14" s="1"/>
  <c r="B104" i="14"/>
  <c r="D104" i="14" s="1"/>
  <c r="B103" i="14"/>
  <c r="D103" i="14" s="1"/>
  <c r="B102" i="14"/>
  <c r="D102" i="14" s="1"/>
  <c r="B101" i="14"/>
  <c r="D101" i="14" s="1"/>
  <c r="B100" i="14"/>
  <c r="D100" i="14" s="1"/>
  <c r="B99" i="14"/>
  <c r="D99" i="14" s="1"/>
  <c r="B98" i="14"/>
  <c r="D98" i="14" s="1"/>
  <c r="B97" i="14"/>
  <c r="D97" i="14" s="1"/>
  <c r="B96" i="14"/>
  <c r="D96" i="14" s="1"/>
  <c r="B95" i="14"/>
  <c r="D95" i="14" s="1"/>
  <c r="B94" i="14"/>
  <c r="D94" i="14" s="1"/>
  <c r="B93" i="14"/>
  <c r="D93" i="14" s="1"/>
  <c r="B92" i="14"/>
  <c r="D92" i="14" s="1"/>
  <c r="B91" i="14"/>
  <c r="D91" i="14" s="1"/>
  <c r="B90" i="14"/>
  <c r="D90" i="14" s="1"/>
  <c r="B89" i="14"/>
  <c r="D89" i="14" s="1"/>
  <c r="B88" i="14"/>
  <c r="D88" i="14" s="1"/>
  <c r="B87" i="14"/>
  <c r="D87" i="14" s="1"/>
  <c r="B86" i="14"/>
  <c r="D86" i="14" s="1"/>
  <c r="B178" i="14"/>
  <c r="D178" i="14" s="1"/>
  <c r="B84" i="14"/>
  <c r="D84" i="14" s="1"/>
  <c r="B83" i="14"/>
  <c r="D83" i="14" s="1"/>
  <c r="B82" i="14"/>
  <c r="D82" i="14" s="1"/>
  <c r="B80" i="14"/>
  <c r="D80" i="14" s="1"/>
  <c r="B79" i="14"/>
  <c r="D79" i="14" s="1"/>
  <c r="B77" i="14"/>
  <c r="D77" i="14" s="1"/>
  <c r="B76" i="14"/>
  <c r="D76" i="14" s="1"/>
  <c r="B75" i="14"/>
  <c r="D75" i="14" s="1"/>
  <c r="B74" i="14"/>
  <c r="D74" i="14" s="1"/>
  <c r="B73" i="14"/>
  <c r="D73" i="14" s="1"/>
  <c r="B72" i="14"/>
  <c r="D72" i="14" s="1"/>
  <c r="B71" i="14"/>
  <c r="D71" i="14" s="1"/>
  <c r="B70" i="14"/>
  <c r="D70" i="14" s="1"/>
  <c r="B69" i="14"/>
  <c r="D69" i="14" s="1"/>
  <c r="B68" i="14"/>
  <c r="D68" i="14" s="1"/>
  <c r="B67" i="14"/>
  <c r="D67" i="14" s="1"/>
  <c r="B66" i="14"/>
  <c r="D66" i="14" s="1"/>
  <c r="B65" i="14"/>
  <c r="D65" i="14" s="1"/>
  <c r="B64" i="14"/>
  <c r="D64" i="14" s="1"/>
  <c r="B63" i="14"/>
  <c r="D63" i="14" s="1"/>
  <c r="B62" i="14"/>
  <c r="D62" i="14" s="1"/>
  <c r="B61" i="14"/>
  <c r="D61" i="14" s="1"/>
  <c r="B60" i="14"/>
  <c r="D60" i="14" s="1"/>
  <c r="B59" i="14"/>
  <c r="D59" i="14" s="1"/>
  <c r="B58" i="14"/>
  <c r="D58" i="14" s="1"/>
  <c r="B57" i="14"/>
  <c r="D57" i="14" s="1"/>
  <c r="B56" i="14"/>
  <c r="D56" i="14" s="1"/>
  <c r="B55" i="14"/>
  <c r="D55" i="14" s="1"/>
  <c r="B54" i="14"/>
  <c r="D54" i="14" s="1"/>
  <c r="B53" i="14"/>
  <c r="D53" i="14" s="1"/>
  <c r="B52" i="14"/>
  <c r="D52" i="14" s="1"/>
  <c r="B51" i="14"/>
  <c r="D51" i="14" s="1"/>
  <c r="B50" i="14"/>
  <c r="D50" i="14" s="1"/>
  <c r="B49" i="14"/>
  <c r="D49" i="14" s="1"/>
  <c r="B48" i="14"/>
  <c r="D48" i="14" s="1"/>
  <c r="B47" i="14"/>
  <c r="D47" i="14" s="1"/>
  <c r="B46" i="14"/>
  <c r="D46" i="14" s="1"/>
  <c r="B45" i="14"/>
  <c r="D45" i="14" s="1"/>
  <c r="B44" i="14"/>
  <c r="D44" i="14" s="1"/>
  <c r="B43" i="14"/>
  <c r="D43" i="14" s="1"/>
  <c r="B42" i="14"/>
  <c r="D42" i="14" s="1"/>
  <c r="B41" i="14"/>
  <c r="D41" i="14" s="1"/>
  <c r="B40" i="14"/>
  <c r="D40" i="14" s="1"/>
  <c r="B39" i="14"/>
  <c r="D39" i="14" s="1"/>
  <c r="B38" i="14"/>
  <c r="D38" i="14" s="1"/>
  <c r="B37" i="14"/>
  <c r="D37" i="14" s="1"/>
  <c r="B36" i="14"/>
  <c r="D36" i="14" s="1"/>
  <c r="B35" i="14"/>
  <c r="D35" i="14" s="1"/>
  <c r="B34" i="14"/>
  <c r="D34" i="14" s="1"/>
  <c r="B33" i="14"/>
  <c r="D33" i="14" s="1"/>
  <c r="B32" i="14"/>
  <c r="D32" i="14" s="1"/>
  <c r="B31" i="14"/>
  <c r="D31" i="14" s="1"/>
  <c r="B30" i="14"/>
  <c r="D30" i="14" s="1"/>
  <c r="B29" i="14"/>
  <c r="D29" i="14" s="1"/>
  <c r="B28" i="14"/>
  <c r="D28" i="14" s="1"/>
  <c r="B27" i="14"/>
  <c r="D27" i="14" s="1"/>
  <c r="B26" i="14"/>
  <c r="D26" i="14" s="1"/>
  <c r="B25" i="14"/>
  <c r="D25" i="14" s="1"/>
  <c r="B24" i="14"/>
  <c r="D24" i="14" s="1"/>
  <c r="B23" i="14"/>
  <c r="D23" i="14" s="1"/>
  <c r="B22" i="14"/>
  <c r="D22" i="14" s="1"/>
  <c r="B21" i="14"/>
  <c r="D21" i="14" s="1"/>
  <c r="B20" i="14"/>
  <c r="D20" i="14" s="1"/>
  <c r="B19" i="14"/>
  <c r="D19" i="14" s="1"/>
  <c r="B18" i="14"/>
  <c r="D18" i="14" s="1"/>
  <c r="B17" i="14"/>
  <c r="D17" i="14" s="1"/>
  <c r="B16" i="14"/>
  <c r="D16" i="14" s="1"/>
  <c r="B15" i="14"/>
  <c r="D15" i="14" s="1"/>
  <c r="B14" i="14"/>
  <c r="D14" i="14" s="1"/>
  <c r="B13" i="14"/>
  <c r="D13" i="14" s="1"/>
  <c r="B11" i="14"/>
  <c r="D11" i="14" s="1"/>
  <c r="B10" i="14"/>
  <c r="D10" i="14" s="1"/>
  <c r="B5" i="14"/>
  <c r="F115" i="19" l="1"/>
  <c r="J131" i="20"/>
  <c r="F133" i="18"/>
  <c r="F132" i="17"/>
  <c r="F112" i="16"/>
  <c r="F117" i="15"/>
  <c r="J117" i="15"/>
  <c r="E292" i="14"/>
  <c r="B292" i="14"/>
  <c r="D5" i="14"/>
  <c r="J127" i="8" l="1"/>
  <c r="J128" i="8"/>
  <c r="J129" i="8"/>
  <c r="J130" i="8"/>
  <c r="J131" i="8"/>
  <c r="J132" i="8"/>
  <c r="J133" i="8"/>
  <c r="J134" i="8"/>
  <c r="J135" i="8"/>
  <c r="J125" i="8"/>
  <c r="J118" i="8"/>
  <c r="J117" i="8"/>
  <c r="F96" i="8"/>
  <c r="F95" i="8"/>
  <c r="F94" i="8"/>
  <c r="F71" i="8"/>
  <c r="F72" i="8"/>
  <c r="F73" i="8"/>
  <c r="J75" i="8"/>
  <c r="J76" i="8"/>
  <c r="J77" i="8"/>
  <c r="J78" i="8"/>
  <c r="J79" i="8"/>
  <c r="J80" i="8"/>
  <c r="J81" i="8"/>
  <c r="J57" i="8"/>
  <c r="J56" i="8"/>
  <c r="J55" i="8"/>
  <c r="J34" i="8"/>
  <c r="J19" i="8"/>
  <c r="J20" i="8"/>
  <c r="J21" i="8"/>
  <c r="J22" i="8"/>
  <c r="J18" i="8"/>
  <c r="J17" i="8"/>
  <c r="J136" i="8" l="1"/>
  <c r="J105" i="8"/>
  <c r="J106" i="8"/>
  <c r="J114" i="8"/>
  <c r="J39" i="8"/>
  <c r="J36" i="8"/>
  <c r="J31" i="8"/>
  <c r="F32" i="8" l="1"/>
  <c r="J116" i="8"/>
  <c r="J115" i="8"/>
  <c r="J113" i="8"/>
  <c r="J112" i="8"/>
  <c r="J111" i="8"/>
  <c r="J110" i="8"/>
  <c r="J109" i="8"/>
  <c r="J108" i="8"/>
  <c r="J107" i="8"/>
  <c r="J104" i="8"/>
  <c r="J103" i="8"/>
  <c r="J102" i="8"/>
  <c r="J101" i="8"/>
  <c r="J100" i="8"/>
  <c r="J99" i="8"/>
  <c r="J97" i="8"/>
  <c r="J96" i="8"/>
  <c r="J95" i="8"/>
  <c r="J94" i="8"/>
  <c r="F97" i="8"/>
  <c r="J93" i="8"/>
  <c r="F93" i="8"/>
  <c r="J92" i="8"/>
  <c r="F92" i="8"/>
  <c r="J91" i="8"/>
  <c r="F91" i="8"/>
  <c r="J90" i="8"/>
  <c r="F90" i="8"/>
  <c r="J89" i="8"/>
  <c r="F89" i="8"/>
  <c r="J88" i="8"/>
  <c r="F88" i="8"/>
  <c r="J82" i="8"/>
  <c r="J74" i="8"/>
  <c r="J73" i="8"/>
  <c r="J72" i="8"/>
  <c r="J71" i="8"/>
  <c r="J70" i="8"/>
  <c r="F70" i="8"/>
  <c r="F83" i="8" s="1"/>
  <c r="J69" i="8"/>
  <c r="J63" i="8"/>
  <c r="J62" i="8"/>
  <c r="J61" i="8"/>
  <c r="J60" i="8"/>
  <c r="J59" i="8"/>
  <c r="F59" i="8"/>
  <c r="J58" i="8"/>
  <c r="J54" i="8"/>
  <c r="J53" i="8"/>
  <c r="J52" i="8"/>
  <c r="F52" i="8"/>
  <c r="J50" i="8"/>
  <c r="F50" i="8"/>
  <c r="J49" i="8"/>
  <c r="F49" i="8"/>
  <c r="J48" i="8"/>
  <c r="F48" i="8"/>
  <c r="J47" i="8"/>
  <c r="F47" i="8"/>
  <c r="J46" i="8"/>
  <c r="J45" i="8"/>
  <c r="F45" i="8"/>
  <c r="J43" i="8"/>
  <c r="J42" i="8"/>
  <c r="J41" i="8"/>
  <c r="F41" i="8"/>
  <c r="J40" i="8"/>
  <c r="F40" i="8"/>
  <c r="J38" i="8"/>
  <c r="F38" i="8"/>
  <c r="J35" i="8"/>
  <c r="F35" i="8"/>
  <c r="J33" i="8"/>
  <c r="F33" i="8"/>
  <c r="J32" i="8"/>
  <c r="J30" i="8"/>
  <c r="F30" i="8"/>
  <c r="J29" i="8"/>
  <c r="F29" i="8"/>
  <c r="J16" i="8"/>
  <c r="J15" i="8"/>
  <c r="J14" i="8"/>
  <c r="F14" i="8"/>
  <c r="J13" i="8"/>
  <c r="F13" i="8"/>
  <c r="J12" i="8"/>
  <c r="J11" i="8"/>
  <c r="F11" i="8"/>
  <c r="J120" i="8" l="1"/>
  <c r="F24" i="8"/>
  <c r="F64" i="8"/>
  <c r="J83" i="8"/>
  <c r="J24" i="8"/>
  <c r="F120" i="8"/>
  <c r="F136" i="8" s="1"/>
  <c r="J64" i="8"/>
  <c r="J138" i="8" l="1"/>
  <c r="F13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<sst xmlns="http://schemas.openxmlformats.org/spreadsheetml/2006/main" count="1873" uniqueCount="511">
  <si>
    <t>SUB ACTIVIDAD</t>
  </si>
  <si>
    <t>APORTE DE LA FAMILIA</t>
  </si>
  <si>
    <t>APORTE DEL PROYECTO</t>
  </si>
  <si>
    <t>ARTICULO</t>
  </si>
  <si>
    <t>CANTIDAD</t>
  </si>
  <si>
    <t>VALOR UNI</t>
  </si>
  <si>
    <t>VALOR TOTAL</t>
  </si>
  <si>
    <t>Alambre de cerca Calibre 14 x Rollo x 1000 Metros Puma</t>
  </si>
  <si>
    <t xml:space="preserve">Mano de obra </t>
  </si>
  <si>
    <t>Aislador Pera bolsa*25 Marca Súper Fox</t>
  </si>
  <si>
    <t>Tensor pequeño 500 metros punto rojo</t>
  </si>
  <si>
    <t>Alambre aislador rollo*50 Súper Fox</t>
  </si>
  <si>
    <t>SUBTOTAL</t>
  </si>
  <si>
    <t xml:space="preserve">Adecuación de acueducto ganader </t>
  </si>
  <si>
    <t xml:space="preserve">Torre para tanque </t>
  </si>
  <si>
    <t>Tanque Plástico 2000 Litros Alto con tapa x Unidad Proco</t>
  </si>
  <si>
    <t>Tubo PVC 1    pulgada x 6m presion</t>
  </si>
  <si>
    <t>T Lisa de PVC de 1"</t>
  </si>
  <si>
    <t>Llave de paso de PVC 1"</t>
  </si>
  <si>
    <t>Unión universal de 1"</t>
  </si>
  <si>
    <t>Codo PVC de 1"</t>
  </si>
  <si>
    <t>Reducción de PVC de 1" a 3/4"</t>
  </si>
  <si>
    <t>Inserto 3/4" de manguera a tubo x unidad</t>
  </si>
  <si>
    <t>Inserto 1/2" de manguera a tubo x unidad</t>
  </si>
  <si>
    <t>Manguera PP 3/4x100 C40 Peletizada
Rollo x 100 Metros</t>
  </si>
  <si>
    <t>T 3/4" salida rosca presion x unidad</t>
  </si>
  <si>
    <t>Codo PVC de 3/4" con rosca</t>
  </si>
  <si>
    <t>Hidrantes de 3/4"</t>
  </si>
  <si>
    <t>unión de manguera 3/4"</t>
  </si>
  <si>
    <t>Adaptador hembra de 1/2"</t>
  </si>
  <si>
    <t>Adaptador macho de 1/2"</t>
  </si>
  <si>
    <t xml:space="preserve">Empaque de 1/2" en llanta </t>
  </si>
  <si>
    <t xml:space="preserve">Caneca de 55 galones sellada </t>
  </si>
  <si>
    <t>Florador de 1/2" en bronce con varilla y bola</t>
  </si>
  <si>
    <t>Cable encuechetado 12x3</t>
  </si>
  <si>
    <t>Árbol de cedro Rosado</t>
  </si>
  <si>
    <t>Árboles de ahumado chipo</t>
  </si>
  <si>
    <t>Árboles de melina</t>
  </si>
  <si>
    <t>Árboles de Yopo</t>
  </si>
  <si>
    <t>Árboles de caracoli</t>
  </si>
  <si>
    <t xml:space="preserve">Árboles de Acacia </t>
  </si>
  <si>
    <t xml:space="preserve">Árboles de nogal </t>
  </si>
  <si>
    <t>Árboles de limon Taihti</t>
  </si>
  <si>
    <t>Colinos de plátano</t>
  </si>
  <si>
    <t>Árboles de mandarina</t>
  </si>
  <si>
    <t>Piña</t>
  </si>
  <si>
    <t>Yuca</t>
  </si>
  <si>
    <t>Árboles de mango tomy</t>
  </si>
  <si>
    <t>Caña</t>
  </si>
  <si>
    <t>Árboles de uva caimarona</t>
  </si>
  <si>
    <t>Árboles de castaño</t>
  </si>
  <si>
    <t>Árboles de guayaba pera</t>
  </si>
  <si>
    <t>Árboles de aguacate lorena</t>
  </si>
  <si>
    <t>Palmas de chontaduro</t>
  </si>
  <si>
    <t>Árboles de Sapote</t>
  </si>
  <si>
    <t xml:space="preserve">Caneca de 55 galones con tapa </t>
  </si>
  <si>
    <t>Sulfato de magnesio x Kilo</t>
  </si>
  <si>
    <t>Sulfato de Zinc x Kilo</t>
  </si>
  <si>
    <t>Sulfato de Calcio x kilo</t>
  </si>
  <si>
    <t>Levadura x libra</t>
  </si>
  <si>
    <t xml:space="preserve">Miel de purga x 30 kilos </t>
  </si>
  <si>
    <t>Cal 40 x litro</t>
  </si>
  <si>
    <t>serrucho curvo para poda</t>
  </si>
  <si>
    <t>Tijera de podar N° 9</t>
  </si>
  <si>
    <t>TOTAL</t>
  </si>
  <si>
    <t>Aisldor Puntila bolsa x 100 unidades</t>
  </si>
  <si>
    <t>Puntilla de 3"</t>
  </si>
  <si>
    <t>Sulfato de Cobre x Kilo</t>
  </si>
  <si>
    <t>Sulfato de Potasio x kilo</t>
  </si>
  <si>
    <t>T para manguera de 3/4"</t>
  </si>
  <si>
    <t>Manguera PP 1 1/2"x100 C40 Peletizada
Rollo x 100 Metros</t>
  </si>
  <si>
    <t>Árboles de araza</t>
  </si>
  <si>
    <t xml:space="preserve">Árboles de copoazú </t>
  </si>
  <si>
    <t xml:space="preserve">Árboles de guanabana </t>
  </si>
  <si>
    <t>Bore</t>
  </si>
  <si>
    <t>Estantillos y mano de obra</t>
  </si>
  <si>
    <t xml:space="preserve">Árboles de naraja valencia </t>
  </si>
  <si>
    <t>Árboles de carbon</t>
  </si>
  <si>
    <t>Kit Electrobomba Solar Kolosal de 80 de cabeza 2 paneles 600 WATT</t>
  </si>
  <si>
    <t>Codo PVC de 1 1/2"</t>
  </si>
  <si>
    <t>bayoneta de 1/2"</t>
  </si>
  <si>
    <t>Tanque Plástico 2000 Litros Alto con tapa x Unidad</t>
  </si>
  <si>
    <t>Sulfato de Manganeso x 300 gramos</t>
  </si>
  <si>
    <t>Cloruro de cobalto x  100 gr</t>
  </si>
  <si>
    <t>Sulfato de fosforo x 500 gr</t>
  </si>
  <si>
    <t>Tricalcio bulto x 50 kilos</t>
  </si>
  <si>
    <t>Tubo PVC 1 1/2"   pulgada x 6m presion</t>
  </si>
  <si>
    <t>Desgarretadora aerea</t>
  </si>
  <si>
    <t>Unión universal de 1 1/2""</t>
  </si>
  <si>
    <t>Sulfato de molibdeno x 100 gr</t>
  </si>
  <si>
    <t>Sulfato de Azufre x kilo</t>
  </si>
  <si>
    <t>Sulfato de Borax X kg</t>
  </si>
  <si>
    <t>ACTIVIDAD # 1. Implementación de 5,3  hectáreas de sistema silvopastoril de 2 potreros se sacan 10 potreros de 0,5 hectareas</t>
  </si>
  <si>
    <t xml:space="preserve">ACTIVIDADES DE INVERSION FAMILIA: _Rubiel Perez </t>
  </si>
  <si>
    <t>FFEM</t>
  </si>
  <si>
    <t>CUADRO:</t>
  </si>
  <si>
    <t>CONSTRUCCIÓN PLAN DE INVERSIONES</t>
  </si>
  <si>
    <t>Descripcion Producto</t>
  </si>
  <si>
    <t>Cantidad</t>
  </si>
  <si>
    <t>Precio Unit</t>
  </si>
  <si>
    <t>Precio Total</t>
  </si>
  <si>
    <t>Aceite Cadenoil x Galón</t>
  </si>
  <si>
    <t>Aislador puntilla Bolsa *100 Marca Lhaura</t>
  </si>
  <si>
    <t>Aislador Pera bolsa*25 Marca Lhaura</t>
  </si>
  <si>
    <t xml:space="preserve">Alambre aislador rollo*50 </t>
  </si>
  <si>
    <t>Alambre de cerca Calibre 14 x Rollo x 1000 Metros</t>
  </si>
  <si>
    <t>Alambre de Cobre Calibre 14 x Metro</t>
  </si>
  <si>
    <t>Alambre de pua Calibre 12,5 Rollo x 330Metro Proalco</t>
  </si>
  <si>
    <t>Alambre de Pua calibre 14 X 500 mts Proalco</t>
  </si>
  <si>
    <t>Alambre de Pua calibre 16.5 Rollo x 400 Metros Proalco</t>
  </si>
  <si>
    <t>Alambre Aluminio Cal 6 X Mtrs</t>
  </si>
  <si>
    <t>Alambre Dulce Calibre 16 x Kilo</t>
  </si>
  <si>
    <t>Alicate Universal de 8"</t>
  </si>
  <si>
    <t>Alicate Diablo x Unidad</t>
  </si>
  <si>
    <t xml:space="preserve">Amarres x 100 para zinc </t>
  </si>
  <si>
    <t>Araña para regar Alambre</t>
  </si>
  <si>
    <t>Azadón con cabo B/H</t>
  </si>
  <si>
    <t>Aro Plateo para Guadaña</t>
  </si>
  <si>
    <t>Adaptador PVC Hembra de ½"</t>
  </si>
  <si>
    <r>
      <t xml:space="preserve">Adaptador PVC Hembra de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>"</t>
    </r>
  </si>
  <si>
    <t>Adaptador PVC Hembra de 1"</t>
  </si>
  <si>
    <t>Adaptador PVC Macho de ½"</t>
  </si>
  <si>
    <r>
      <t xml:space="preserve">Adaptador PVC Macho de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>"</t>
    </r>
  </si>
  <si>
    <t>Adaptador PVC Macho de 1"</t>
  </si>
  <si>
    <t>Bandeja Semillero Plástica x Unidad</t>
  </si>
  <si>
    <t xml:space="preserve">Barreton con cabo </t>
  </si>
  <si>
    <t>Bateria seca 12/100 MAGNA</t>
  </si>
  <si>
    <t>Bateria solar grande green point GELL (150 AMP)</t>
  </si>
  <si>
    <t>Bateria solar grande magna GELL (150 AMP)</t>
  </si>
  <si>
    <t>Bateria solar mediana (120 AMP)</t>
  </si>
  <si>
    <t>Bateria Solar 55 AMP</t>
  </si>
  <si>
    <t>Sulfurphos</t>
  </si>
  <si>
    <t>Novatec Premium</t>
  </si>
  <si>
    <t>Novatec Solub 45</t>
  </si>
  <si>
    <t>Basacote X 25 kg</t>
  </si>
  <si>
    <t>Bebedero gallinas medianos</t>
  </si>
  <si>
    <t>Bebederos bovino con soporte Marca Royal Condor - 125 lt</t>
  </si>
  <si>
    <t>Bebederos bovino con soporte Marca Royal Condor - 250 lt</t>
  </si>
  <si>
    <t>Bolsa  de miel de purga x 30 kilos</t>
  </si>
  <si>
    <t>Bolsa de Cacao de 35 x 15 colibre 2 PLA</t>
  </si>
  <si>
    <t>Bolsa Vivero 12X18 Cal 2 PLA</t>
  </si>
  <si>
    <t>Bolsas semillero de kilo x 1.000 UND</t>
  </si>
  <si>
    <t>Bugui (Carretilla Plástica)</t>
  </si>
  <si>
    <t xml:space="preserve">Cinta Teflon ancha </t>
  </si>
  <si>
    <t>Cintelita Rollo x 100 Metro</t>
  </si>
  <si>
    <t>Cable Duplex 2X14 Rollo x mtrs</t>
  </si>
  <si>
    <t>Cable encauchetado X3  Cal 12</t>
  </si>
  <si>
    <t xml:space="preserve">Cal Liquida X Litro </t>
  </si>
  <si>
    <t xml:space="preserve">Cal viva X 50 kilos </t>
  </si>
  <si>
    <t>Caneca 55 GL Plastica con tapa</t>
  </si>
  <si>
    <t>Caneca 55 GL Doble pestaña</t>
  </si>
  <si>
    <t>Chapeta 4"</t>
  </si>
  <si>
    <t>Chapeta 3"</t>
  </si>
  <si>
    <t>Codo PVC Con rosca de 1"</t>
  </si>
  <si>
    <r>
      <t xml:space="preserve">Codo PVC de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>"</t>
    </r>
  </si>
  <si>
    <t>Codo PVC de ½"</t>
  </si>
  <si>
    <t>Codo PVC Con rosca de ½"</t>
  </si>
  <si>
    <r>
      <t xml:space="preserve">Codo PVC Con rosca de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>"</t>
    </r>
  </si>
  <si>
    <t>Cemento Gris Bulto x 50 kilos</t>
  </si>
  <si>
    <t>Collarines Plásticos de ¾" Pulgada</t>
  </si>
  <si>
    <t xml:space="preserve">Comederos para gallinas Lhaura </t>
  </si>
  <si>
    <t>Cuchilla doble tiro Super fox</t>
  </si>
  <si>
    <t xml:space="preserve">Cuchillas Sectorizadora </t>
  </si>
  <si>
    <t>Cuchillas Guadañas</t>
  </si>
  <si>
    <t>Desviador de rayo superfox</t>
  </si>
  <si>
    <t>Desgarretadora Aerea</t>
  </si>
  <si>
    <t>Dolfos x Bulto *50 kg</t>
  </si>
  <si>
    <t>Electro bomba EE 1.5 20-1 C-220 2HP 1.½¨ con accesorios</t>
  </si>
  <si>
    <t>Silla de carga con aperos (Grupa, garra, sincha, pechera, apero cabeza)</t>
  </si>
  <si>
    <t xml:space="preserve">Flotador Bebedero  </t>
  </si>
  <si>
    <t>Flotador de ½" en bronce con varilla y bola</t>
  </si>
  <si>
    <t xml:space="preserve">Fumigadora de espalda royal Condor Clasica </t>
  </si>
  <si>
    <t xml:space="preserve">Grapa larga x kilo Puma </t>
  </si>
  <si>
    <t xml:space="preserve">Grapas mediana X kilo </t>
  </si>
  <si>
    <t>Guante de carnaza</t>
  </si>
  <si>
    <t>Guadañadora Husvarna 143</t>
  </si>
  <si>
    <t>Guadañadora Zenoah G45L</t>
  </si>
  <si>
    <t>Guadañadora Maruyama B43 Rigida</t>
  </si>
  <si>
    <t xml:space="preserve">Hacha con cabo Bellota </t>
  </si>
  <si>
    <t>Hidrantes de uso agrícola de ½ de Pulgada Plástico</t>
  </si>
  <si>
    <t>Hidrantes de uso agrícola de ¾" de Pulgada Plástico</t>
  </si>
  <si>
    <t>Inserto de PVC de 1"</t>
  </si>
  <si>
    <t>Inserto de PVC de ½"</t>
  </si>
  <si>
    <r>
      <t xml:space="preserve">Inserto de PVC de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>"</t>
    </r>
  </si>
  <si>
    <t>Inserto de PVC de 1"con salida a ½"</t>
  </si>
  <si>
    <t>Impulsor 60 km 110V Superfox</t>
  </si>
  <si>
    <t>Impulsor 60 km 12V Superfox</t>
  </si>
  <si>
    <t>Impulsor 30 km 110V Superfox</t>
  </si>
  <si>
    <t>Impulsor 30 km 12V Superfox</t>
  </si>
  <si>
    <t>Impulsor 50 km 12V Superfox</t>
  </si>
  <si>
    <t>Impulsor 80 km 110V SuperFox Ultra</t>
  </si>
  <si>
    <t xml:space="preserve">Impulsor 90 km 110V SuperFox </t>
  </si>
  <si>
    <t xml:space="preserve">Impulsor 80 km 12V SuperFox </t>
  </si>
  <si>
    <t>Impulsor Kit Solar con panel incluido impulsor 60 km + Panel 40 Watts</t>
  </si>
  <si>
    <t>Impulsor Super Fox - Duales 60 Km C-SF 120V.AC Y/O 12V</t>
  </si>
  <si>
    <t>Kit Manigueta Portillo 3MTS</t>
  </si>
  <si>
    <t>Kit Abejas Meliponas</t>
  </si>
  <si>
    <t>Lima 6P TIBURON TM 6" CON</t>
  </si>
  <si>
    <t xml:space="preserve">Llave tensora para cerca electrica </t>
  </si>
  <si>
    <r>
      <t xml:space="preserve">Llave de paso de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>"</t>
    </r>
  </si>
  <si>
    <t>Lona verde x 1.80 x 1.00 para encerrar x mts</t>
  </si>
  <si>
    <t>Machete tres canales con funda N° 18</t>
  </si>
  <si>
    <t>Machete tres canales con funda N° 20</t>
  </si>
  <si>
    <t xml:space="preserve">Machete aguila corneta con funda N° 22 </t>
  </si>
  <si>
    <t>Machete aguila corneta N° 18</t>
  </si>
  <si>
    <t>Manguera PP ½ x 100 C40</t>
  </si>
  <si>
    <t xml:space="preserve">Malla Galvanizada Rollo </t>
  </si>
  <si>
    <t>Malla Gallinero Metalica x Rollo x 36 Metros</t>
  </si>
  <si>
    <t>Malla Eslabonada 1.8X1.0</t>
  </si>
  <si>
    <t>Malla Plastica Rollo *50 Mts</t>
  </si>
  <si>
    <t>Malla Plastica verde X 30 Mts 2,10 ALTO</t>
  </si>
  <si>
    <t>Malla Plastica Para Secador de Cacao Rollo *50 Mts</t>
  </si>
  <si>
    <t>Manguera Aisladora Rollo x 50 Metros</t>
  </si>
  <si>
    <t>Manguera Cal 60 3" Plastica x 50 metros</t>
  </si>
  <si>
    <t>Manguera Cal 60 2" Plastica x Rollo 100mt</t>
  </si>
  <si>
    <t>Manguera Cal 60 2" Plastica x 50 metros</t>
  </si>
  <si>
    <t>Manguera PP 1/2 X100C40 ESPITIA Rollo x 100 Metros</t>
  </si>
  <si>
    <t>Manguera PP 1X100C40 ESPITIA Rollo x 100 Metros</t>
  </si>
  <si>
    <t>Manguera PP 3/4X100C40 ESPITIA Rollo x 100 Metros</t>
  </si>
  <si>
    <t>Manguera PP Peletizada 1/2 X100C40</t>
  </si>
  <si>
    <t>Manguera PP Peletizada 1" X100 Metros Calibre 40</t>
  </si>
  <si>
    <t>Manguera PP Peletizada 3/4x100 mts Calibre 40</t>
  </si>
  <si>
    <t>Manguera Bicolor - ½ x metros</t>
  </si>
  <si>
    <r>
      <t xml:space="preserve">Manguera Bicolor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 xml:space="preserve"> x metros</t>
    </r>
  </si>
  <si>
    <t>Manguera PP Cal 60 1 ½" Plastica X Rollo</t>
  </si>
  <si>
    <t>Manguera Riego Agrícola Económica P 1/2 X 100 Calibre 40</t>
  </si>
  <si>
    <t>Manigueta Portillo</t>
  </si>
  <si>
    <t xml:space="preserve">Martillo Cabo Madera </t>
  </si>
  <si>
    <t>Martillo No 25 con cabo Metálico x unidad</t>
  </si>
  <si>
    <t>Martillo No 27 con cabo Metálico x unidad</t>
  </si>
  <si>
    <t>Media Luna para deshoje de platano</t>
  </si>
  <si>
    <t>Micorriza X Bulto</t>
  </si>
  <si>
    <t>Miel de Purga X 30 Kg</t>
  </si>
  <si>
    <t>Molino electrico de un caballo</t>
  </si>
  <si>
    <t>Neumatico</t>
  </si>
  <si>
    <t>Pala No 2 con Cabo x Unidad</t>
  </si>
  <si>
    <t xml:space="preserve">Pala No 4 con Cabo  </t>
  </si>
  <si>
    <t>Pala Draga</t>
  </si>
  <si>
    <t>Palin con cabo</t>
  </si>
  <si>
    <t>Pala Huila</t>
  </si>
  <si>
    <t>Panel solar 190WATT</t>
  </si>
  <si>
    <t>Panel Solar 130WAT x Unidad</t>
  </si>
  <si>
    <t>Panel Solar 200WAT x Unidad</t>
  </si>
  <si>
    <t>Panel solar de 55-60 AMP</t>
  </si>
  <si>
    <t>Panel Solar 220 WATT</t>
  </si>
  <si>
    <t>Pica Herramienta x Unidad</t>
  </si>
  <si>
    <t>Perros Gran para amarrar</t>
  </si>
  <si>
    <r>
      <t>Pegante PVC X 250 CC</t>
    </r>
    <r>
      <rPr>
        <sz val="12"/>
        <color theme="2" tint="-0.89999084444715716"/>
        <rFont val="Calibri"/>
        <family val="2"/>
      </rPr>
      <t>³</t>
    </r>
  </si>
  <si>
    <t xml:space="preserve">Plástico negro calibre 8 x mts </t>
  </si>
  <si>
    <t xml:space="preserve">Polisombra al 35% x Metro </t>
  </si>
  <si>
    <t xml:space="preserve">Polisombra al 70% x Metro </t>
  </si>
  <si>
    <t xml:space="preserve">Polisombra Marca Rachell al 80% x Metro </t>
  </si>
  <si>
    <t>Postas Agrofacil 1.82 mtrs 3.2 kg</t>
  </si>
  <si>
    <t xml:space="preserve">Puntilla 1 ½" Caja x 400 Grm </t>
  </si>
  <si>
    <t xml:space="preserve">Puntilla 2 ½" Caja x 400 Grm </t>
  </si>
  <si>
    <t>Puntilla 2" Caja x 400 Grm</t>
  </si>
  <si>
    <t>Puntilla 3 ½" Caja x 400 Grm</t>
  </si>
  <si>
    <t>Puntilla 3" Caja x 400 Grm</t>
  </si>
  <si>
    <t>Puntilla 4" Caja x 800 Grm</t>
  </si>
  <si>
    <t>Puntilla 5" Caja x 800 Grm</t>
  </si>
  <si>
    <t>Puntilla en Bolsa para Zinc x 18 Unidades</t>
  </si>
  <si>
    <t>Puntilla Gorro X Bolsa</t>
  </si>
  <si>
    <t>Regadera x Unidad</t>
  </si>
  <si>
    <t>Regulador 10 AMP/12V</t>
  </si>
  <si>
    <t>Regulador 20 AMP/12V</t>
  </si>
  <si>
    <t>Regulador 30 AMP/12V</t>
  </si>
  <si>
    <t>Rula aguila corneta</t>
  </si>
  <si>
    <t>Saladeros Plástico para bovinos x Unidad</t>
  </si>
  <si>
    <t>Secador Portatil</t>
  </si>
  <si>
    <t>Sulfato de Patasio x 1 Kilo</t>
  </si>
  <si>
    <t>Sulfato de Azufre x 1 Kilo</t>
  </si>
  <si>
    <t>Sulfato de Molibdeno x 100 Gr</t>
  </si>
  <si>
    <t>Sulfato de Calcio x 1 Kilo</t>
  </si>
  <si>
    <t>Sulfato de Fosforo X 500 Gr</t>
  </si>
  <si>
    <t>Sulfato de Cobalto X 100 Gr</t>
  </si>
  <si>
    <t>Tanque plastico 250 LTS BEB TANTANK</t>
  </si>
  <si>
    <t xml:space="preserve">Tanque Bebero plastico 250 Lt Royal Condor </t>
  </si>
  <si>
    <t xml:space="preserve">Tanque Bebero plastico 125 Lt Royal Condor </t>
  </si>
  <si>
    <t>Tanque 500 Litros TANKPLAST CO Bajito</t>
  </si>
  <si>
    <t xml:space="preserve">Tanque 500 Litros TANKPLAST CO </t>
  </si>
  <si>
    <t>Tanque Plástico 1000 Litros Alto x Unidad</t>
  </si>
  <si>
    <t>Tanque Plástico 1000 Litros Bajo con tapa x Unidad</t>
  </si>
  <si>
    <t>T PVC Con rosca de ½"</t>
  </si>
  <si>
    <r>
      <t xml:space="preserve">T PVC Con rosca de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>"</t>
    </r>
  </si>
  <si>
    <t xml:space="preserve">T PVC de 1" </t>
  </si>
  <si>
    <t>T PVC de 1" con Salida a ½"</t>
  </si>
  <si>
    <t xml:space="preserve">T de manguera  1" </t>
  </si>
  <si>
    <t xml:space="preserve">T de manguera  ½" </t>
  </si>
  <si>
    <t xml:space="preserve">T de manguera  ¾" </t>
  </si>
  <si>
    <t>Tejas de Eternit 2 metros</t>
  </si>
  <si>
    <t>Tejas de Zinc de 2 metros Calibre 33 x Unidad</t>
  </si>
  <si>
    <t>Tejas de zinc de 3 mts Calibre 33 x Unidad</t>
  </si>
  <si>
    <t>Templadora (Patecabra) x Unidad</t>
  </si>
  <si>
    <t>Tensor Pequeño 500 Mts</t>
  </si>
  <si>
    <t>Tijera Podar 9"</t>
  </si>
  <si>
    <t>Tuvo PVC 1  pulgada x 6m</t>
  </si>
  <si>
    <r>
      <t xml:space="preserve">Tuvo PVC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 xml:space="preserve">  pulgada x 6m</t>
    </r>
  </si>
  <si>
    <t>Tuvo PVC 1 ½ pulgada x 6m</t>
  </si>
  <si>
    <t>Unión de 1 pulgada para manguera espitia x Unidad</t>
  </si>
  <si>
    <t>Unión para manguera espitia ½ pulgada - espitia</t>
  </si>
  <si>
    <r>
      <t xml:space="preserve">Unión para manguera espitia ½ a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 xml:space="preserve"> pulgada - espitia</t>
    </r>
  </si>
  <si>
    <r>
      <t xml:space="preserve">Unión para manguera espitia 1" a </t>
    </r>
    <r>
      <rPr>
        <sz val="12"/>
        <color theme="2" tint="-0.89999084444715716"/>
        <rFont val="Calibri"/>
        <family val="2"/>
      </rPr>
      <t>¾"</t>
    </r>
    <r>
      <rPr>
        <sz val="12"/>
        <color theme="2" tint="-0.89999084444715716"/>
        <rFont val="Arial Narrow"/>
        <family val="2"/>
      </rPr>
      <t xml:space="preserve"> pulgada - espitia</t>
    </r>
  </si>
  <si>
    <r>
      <t xml:space="preserve">Unión para manguera espitia </t>
    </r>
    <r>
      <rPr>
        <sz val="12"/>
        <color theme="2" tint="-0.89999084444715716"/>
        <rFont val="Calibri"/>
        <family val="2"/>
      </rPr>
      <t>¾</t>
    </r>
    <r>
      <rPr>
        <sz val="12"/>
        <color theme="2" tint="-0.89999084444715716"/>
        <rFont val="Arial Narrow"/>
        <family val="2"/>
      </rPr>
      <t xml:space="preserve"> pulgada - espitia</t>
    </r>
  </si>
  <si>
    <t>Unión para manguera espitia 1 ½ pulgada - espitia</t>
  </si>
  <si>
    <t xml:space="preserve">Unión para manguera espitia de 1" a ½" pulgada </t>
  </si>
  <si>
    <t>Unión PVC 1  pulgada</t>
  </si>
  <si>
    <t>Unión PVC 1 ½ pulgada</t>
  </si>
  <si>
    <t xml:space="preserve">Unión PVC ½ pulgada </t>
  </si>
  <si>
    <t>Valloneta ½</t>
  </si>
  <si>
    <r>
      <t xml:space="preserve">Valloneta </t>
    </r>
    <r>
      <rPr>
        <sz val="12"/>
        <color theme="2" tint="-0.89999084444715716"/>
        <rFont val="Calibri"/>
        <family val="2"/>
      </rPr>
      <t>¾</t>
    </r>
  </si>
  <si>
    <t>Varilla para rayo (Coperwell) x Unidad</t>
  </si>
  <si>
    <r>
      <t xml:space="preserve">Tuerca para Tornillo </t>
    </r>
    <r>
      <rPr>
        <sz val="12"/>
        <color rgb="FF1D1B10"/>
        <rFont val="Calibri"/>
        <family val="2"/>
      </rPr>
      <t>½</t>
    </r>
    <r>
      <rPr>
        <sz val="12"/>
        <color rgb="FF1D1B10"/>
        <rFont val="Arial Narrow"/>
        <family val="2"/>
      </rPr>
      <t xml:space="preserve"> x Unidad</t>
    </r>
  </si>
  <si>
    <r>
      <t xml:space="preserve">Tuerca para Tornillo </t>
    </r>
    <r>
      <rPr>
        <sz val="12"/>
        <color rgb="FF1D1B10"/>
        <rFont val="Calibri"/>
        <family val="2"/>
      </rPr>
      <t>⅜</t>
    </r>
    <r>
      <rPr>
        <sz val="12"/>
        <color rgb="FF1D1B10"/>
        <rFont val="Arial Narrow"/>
        <family val="2"/>
      </rPr>
      <t xml:space="preserve"> x Unidad</t>
    </r>
  </si>
  <si>
    <r>
      <t xml:space="preserve">Arandela para Tornillo </t>
    </r>
    <r>
      <rPr>
        <sz val="12"/>
        <color rgb="FF1D1B10"/>
        <rFont val="Calibri"/>
        <family val="2"/>
      </rPr>
      <t>½</t>
    </r>
    <r>
      <rPr>
        <sz val="12"/>
        <color rgb="FF1D1B10"/>
        <rFont val="Arial Narrow"/>
        <family val="2"/>
      </rPr>
      <t xml:space="preserve"> x Unidad</t>
    </r>
  </si>
  <si>
    <r>
      <t xml:space="preserve">Arandela para Tornillo </t>
    </r>
    <r>
      <rPr>
        <sz val="12"/>
        <color rgb="FF1D1B10"/>
        <rFont val="Calibri"/>
        <family val="2"/>
      </rPr>
      <t>⅜</t>
    </r>
    <r>
      <rPr>
        <sz val="12"/>
        <color rgb="FF1D1B10"/>
        <rFont val="Arial Narrow"/>
        <family val="2"/>
      </rPr>
      <t xml:space="preserve"> x Unidad</t>
    </r>
  </si>
  <si>
    <r>
      <t xml:space="preserve">Varilla Tornillo </t>
    </r>
    <r>
      <rPr>
        <sz val="12"/>
        <color rgb="FF1D1B10"/>
        <rFont val="Calibri"/>
        <family val="2"/>
      </rPr>
      <t>½</t>
    </r>
    <r>
      <rPr>
        <sz val="12"/>
        <color rgb="FF1D1B10"/>
        <rFont val="Arial Narrow"/>
        <family val="2"/>
      </rPr>
      <t xml:space="preserve"> x Unidad</t>
    </r>
  </si>
  <si>
    <r>
      <t xml:space="preserve">Varilla Tornillo </t>
    </r>
    <r>
      <rPr>
        <sz val="12"/>
        <color rgb="FF1D1B10"/>
        <rFont val="Calibri"/>
        <family val="2"/>
      </rPr>
      <t>⅜</t>
    </r>
    <r>
      <rPr>
        <sz val="12"/>
        <color rgb="FF1D1B10"/>
        <rFont val="Arial Narrow"/>
        <family val="2"/>
      </rPr>
      <t xml:space="preserve"> x Unidad</t>
    </r>
  </si>
  <si>
    <r>
      <t xml:space="preserve">Varilla </t>
    </r>
    <r>
      <rPr>
        <sz val="12"/>
        <color rgb="FF1D1B10"/>
        <rFont val="Calibri"/>
        <family val="2"/>
      </rPr>
      <t>½</t>
    </r>
    <r>
      <rPr>
        <sz val="12"/>
        <color rgb="FF1D1B10"/>
        <rFont val="Arial Narrow"/>
        <family val="2"/>
      </rPr>
      <t xml:space="preserve"> x Unidad</t>
    </r>
  </si>
  <si>
    <t>Varilla ¾ x Unidad</t>
  </si>
  <si>
    <t>Varilla Fleje x Unidad</t>
  </si>
  <si>
    <t>Visagra de 4"</t>
  </si>
  <si>
    <t>Vinipel para injertar x Rollo</t>
  </si>
  <si>
    <t>VALOR TOTAL VEREDA / RESGUARDO</t>
  </si>
  <si>
    <t>Rubiel Perez</t>
  </si>
  <si>
    <r>
      <t>ACTIVIDAD # 2. Implementación de</t>
    </r>
    <r>
      <rPr>
        <b/>
        <sz val="1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800</t>
    </r>
    <r>
      <rPr>
        <b/>
        <sz val="11"/>
        <color rgb="FF000000"/>
        <rFont val="Calibri"/>
        <family val="2"/>
        <charset val="1"/>
      </rPr>
      <t xml:space="preserve"> metros de acueducto ganadero</t>
    </r>
  </si>
  <si>
    <t>Llave de paso de PVC 1 1/2"</t>
  </si>
  <si>
    <t>Adaptador macho de 1 1/2"</t>
  </si>
  <si>
    <t>Adaptador macho de 1 1/4"</t>
  </si>
  <si>
    <t>Reducción de PVC de 1 1/2" a 1 1/4"</t>
  </si>
  <si>
    <t>Árboles de Manguillo</t>
  </si>
  <si>
    <t>Árbol de Juan Soco</t>
  </si>
  <si>
    <t>Árbol de Medio Comino</t>
  </si>
  <si>
    <t>Árbol de ahumado chipo</t>
  </si>
  <si>
    <t>Árbol de Mmani</t>
  </si>
  <si>
    <t>Árbol de abichuri</t>
  </si>
  <si>
    <t>ACTIVIDAD # 4. Implementación de 0,5 hectáreas de SAF con cultivo principal castaño de monte (castaño de monte, pan coger, corredor bioógico)</t>
  </si>
  <si>
    <r>
      <t xml:space="preserve">ACTIVIDAD # 3. Implementación de </t>
    </r>
    <r>
      <rPr>
        <b/>
        <sz val="11"/>
        <color rgb="FFFF0000"/>
        <rFont val="Calibri"/>
        <family val="2"/>
      </rPr>
      <t>1.000</t>
    </r>
    <r>
      <rPr>
        <b/>
        <sz val="11"/>
        <color rgb="FF000000"/>
        <rFont val="Calibri"/>
        <family val="2"/>
        <charset val="1"/>
      </rPr>
      <t xml:space="preserve"> metros de cerca viva para sombrió en potrero y 270 metros de orilla de nacimiento</t>
    </r>
  </si>
  <si>
    <t xml:space="preserve">Árboles de carbon </t>
  </si>
  <si>
    <t>Micorriza x bulto</t>
  </si>
  <si>
    <t>Basacote</t>
  </si>
  <si>
    <t xml:space="preserve">Aljibe </t>
  </si>
  <si>
    <r>
      <t xml:space="preserve">ACTIVIDAD # 5. Implementación de </t>
    </r>
    <r>
      <rPr>
        <sz val="11"/>
        <color rgb="FF000000"/>
        <rFont val="Calibri"/>
        <family val="2"/>
      </rPr>
      <t xml:space="preserve">una huerta casera de 8 x 7 para soberania alimentaria </t>
    </r>
  </si>
  <si>
    <t>PROYECTO: ConBosque</t>
  </si>
  <si>
    <t xml:space="preserve">VEREDA LOS ÁNGELES </t>
  </si>
  <si>
    <t>Alambre de cerca Calibre 12 x Rollo x 1000 Metros</t>
  </si>
  <si>
    <t>Alambre de Cobre Calibre 12 x Metro</t>
  </si>
  <si>
    <t>Alambre de pua calibre calibre 16 x 100 metros</t>
  </si>
  <si>
    <t xml:space="preserve">Alambre Negro para amarre x kilo </t>
  </si>
  <si>
    <t>Adaptador PVC Macho de 1 1/4"</t>
  </si>
  <si>
    <t>Adaptador PVC Macho de 1 1/2"</t>
  </si>
  <si>
    <t xml:space="preserve">Bebedero bovino 250 litros </t>
  </si>
  <si>
    <t>Cinta, rollo, calibre 6000 x 10 cm x 1000 metros para sistema de riego</t>
  </si>
  <si>
    <t>Cable trenzado de dos lineas calibre 20 rollo x 200 metros</t>
  </si>
  <si>
    <t>Codo PVC de 1 ½"</t>
  </si>
  <si>
    <t>Codo de manguera de 1/2"</t>
  </si>
  <si>
    <t>Empaque de 1/2 en llanta</t>
  </si>
  <si>
    <t>Filtro en Y con anillos 3/4"</t>
  </si>
  <si>
    <t xml:space="preserve">Fondo para trapiche de 1,10 metro </t>
  </si>
  <si>
    <t>Inserto de PVC de 1" ½"</t>
  </si>
  <si>
    <t>Ladrillo tolete</t>
  </si>
  <si>
    <t xml:space="preserve">Lamina Enfalcar en aceroinoxidable 1,22 metros ancho x 2,5 de largo calibre 14 </t>
  </si>
  <si>
    <t>L en Lamina x unidad calibre 18 de 10 x 10 cm</t>
  </si>
  <si>
    <t xml:space="preserve">Levadura x libra </t>
  </si>
  <si>
    <t>Lave para riego de 1/2" con adaptador rapido</t>
  </si>
  <si>
    <t xml:space="preserve">Llave de paso de 1/2" </t>
  </si>
  <si>
    <t>Manguera PP 1 1/2" X 100 metros economica</t>
  </si>
  <si>
    <t>Manguera PP 1/2" X 100 metros economica</t>
  </si>
  <si>
    <t>Manguera PP 1 1/2 X100C40 ESPITIA Rollo x 100 Metros</t>
  </si>
  <si>
    <t>Panel Solar 210WAT x Unidad</t>
  </si>
  <si>
    <t>Plastico Agrolet X  Metro  calibre 6 x 6 de ancho</t>
  </si>
  <si>
    <t>Plastico Agrolet X Metro Calibre 6 x 4 de ancho</t>
  </si>
  <si>
    <t>Reducción PVC de 1 1/2" a 1 1/4</t>
  </si>
  <si>
    <r>
      <t xml:space="preserve">Reducción PVC de 1" a </t>
    </r>
    <r>
      <rPr>
        <sz val="12"/>
        <color theme="2" tint="-0.89999084444715716"/>
        <rFont val="Calibri"/>
        <family val="2"/>
      </rPr>
      <t>¾"</t>
    </r>
  </si>
  <si>
    <t>Reducción PVC de 3/4" a 1/2"</t>
  </si>
  <si>
    <t>Reducción PVC de 1 1/2" a 1"</t>
  </si>
  <si>
    <t xml:space="preserve">Remache de golpe en  Aluminio de 3/4 de largo x 3/16 de grueso para enfalcar x libra </t>
  </si>
  <si>
    <t>Riel de ferrocarril x 1 metro</t>
  </si>
  <si>
    <t>Riel de 10 x 4 calibre 16</t>
  </si>
  <si>
    <t>Riel de 7 x 4 calibre 18</t>
  </si>
  <si>
    <t>Rin 15 de hierro</t>
  </si>
  <si>
    <t>Serrucho curvo para poda</t>
  </si>
  <si>
    <t>Sulfato de Manganeso x 300 Gr</t>
  </si>
  <si>
    <t>Sulfato de Boro X 1 kilo</t>
  </si>
  <si>
    <t xml:space="preserve">Sensor para Electrobombsa Solar </t>
  </si>
  <si>
    <t>Soldadura 60 - 13 x kilo</t>
  </si>
  <si>
    <t>Tapón final cinta de riego</t>
  </si>
  <si>
    <t>T PVC de 3/4</t>
  </si>
  <si>
    <t xml:space="preserve">Temporizador de riego </t>
  </si>
  <si>
    <t>Tensor para 1.000 Mts</t>
  </si>
  <si>
    <t>Tornillo Autoperforante madera/Drywall 1,5"</t>
  </si>
  <si>
    <t xml:space="preserve">Tornillos autoperforante de 3/4" </t>
  </si>
  <si>
    <t>Tornilos autoperforantes de 1 1/2"</t>
  </si>
  <si>
    <t>Tuvo PVC 1/2  pulgada x 6m</t>
  </si>
  <si>
    <t>Tuvo PVC 4" x 6 metros semi pesado</t>
  </si>
  <si>
    <t>Tricalcio bulto x 50 kg</t>
  </si>
  <si>
    <t xml:space="preserve">Unión PVC 3/4 pulgada </t>
  </si>
  <si>
    <t>Unión universal 1 pulgada</t>
  </si>
  <si>
    <t>Unión universal 1 1/2 pulgada</t>
  </si>
  <si>
    <t>Válvula cinta manguera de riego por goteo 16 mm x unidad</t>
  </si>
  <si>
    <t>Válvula de bola lisa PVC 1/2"</t>
  </si>
  <si>
    <t>Manguera Bicolor de 1/2" x metro</t>
  </si>
  <si>
    <t>VEREDA / : La Bamba, El Rosal y Soncelejo</t>
  </si>
  <si>
    <t>Unión de manguera 1 1/2"</t>
  </si>
  <si>
    <t>Unión PVC de 1 1/2"</t>
  </si>
  <si>
    <t xml:space="preserve">ACTIVIDADES DE INVERSION FAMILIA: _Jairo Marin  </t>
  </si>
  <si>
    <r>
      <t xml:space="preserve">ACTIVIDAD # 3. Implementación de </t>
    </r>
    <r>
      <rPr>
        <b/>
        <sz val="11"/>
        <color rgb="FFFF0000"/>
        <rFont val="Calibri"/>
        <family val="2"/>
      </rPr>
      <t>1.600</t>
    </r>
    <r>
      <rPr>
        <b/>
        <sz val="11"/>
        <color rgb="FF000000"/>
        <rFont val="Calibri"/>
        <family val="2"/>
        <charset val="1"/>
      </rPr>
      <t xml:space="preserve"> metros de cerca viva para sombrió en potrero y 270 metros de orilla de nacimiento</t>
    </r>
  </si>
  <si>
    <t>Árbol de Mani</t>
  </si>
  <si>
    <t>ACTIVIDAD # 1. Implementación de 9,6  hectáreas de sistema silvopastoril de 2 potreros se sacan 10 potreros de 0,5 hectareas</t>
  </si>
  <si>
    <t>Arboles frutales:
 guanabana blanca, borojo, caimo, citricos</t>
  </si>
  <si>
    <t>Laureles</t>
  </si>
  <si>
    <t>Árboles de Dinde</t>
  </si>
  <si>
    <t>Árboles de Achapo</t>
  </si>
  <si>
    <t>Semillas, vivero  de sp
 que se consiguen en su finca</t>
  </si>
  <si>
    <t>ACTIVIDAD # 4. Implementación de 1 hectáreas de SAF con cultivo principal castaño de monte (castaño de monte, pan coger)</t>
  </si>
  <si>
    <t>Palma chontaduro</t>
  </si>
  <si>
    <t>Arboles de copoazú</t>
  </si>
  <si>
    <t>ACTIVIDADES DE INVERSION FAMILIA: _Liliana Gaviria</t>
  </si>
  <si>
    <t>ACTIVIDAD # 1. Implementación de 10  hectáreas de sistema silvopastoril de 4 potreros se sacan 20 potreros de 0,5 hectareas</t>
  </si>
  <si>
    <r>
      <t xml:space="preserve">ACTIVIDAD # 3. Implementación de </t>
    </r>
    <r>
      <rPr>
        <b/>
        <sz val="11"/>
        <color rgb="FFFF0000"/>
        <rFont val="Calibri"/>
        <family val="2"/>
      </rPr>
      <t>1.500</t>
    </r>
    <r>
      <rPr>
        <b/>
        <sz val="11"/>
        <color rgb="FF000000"/>
        <rFont val="Calibri"/>
        <family val="2"/>
        <charset val="1"/>
      </rPr>
      <t xml:space="preserve"> metros de cerca viva para sombrió en potrero y 270 metros de orilla de nacimiento</t>
    </r>
  </si>
  <si>
    <t>Árboles de ahumado muchilero</t>
  </si>
  <si>
    <t>Árboles de marfil</t>
  </si>
  <si>
    <t>Árboles de ceiba</t>
  </si>
  <si>
    <t>Cedro Rosado</t>
  </si>
  <si>
    <r>
      <t xml:space="preserve">ACTIVIDAD # 1. Implementación de </t>
    </r>
    <r>
      <rPr>
        <b/>
        <sz val="11"/>
        <color rgb="FFFF0000"/>
        <rFont val="Calibri"/>
        <family val="2"/>
      </rPr>
      <t>9,8</t>
    </r>
    <r>
      <rPr>
        <b/>
        <sz val="11"/>
        <color rgb="FF000000"/>
        <rFont val="Calibri"/>
        <family val="2"/>
        <charset val="1"/>
      </rPr>
      <t xml:space="preserve">  hectáreas de sistema silvopastoril de  5 potreros se sacan 20 potreros de 0,5 hectareas </t>
    </r>
  </si>
  <si>
    <t>Arboles de caimaron</t>
  </si>
  <si>
    <t>Árboles de borojo</t>
  </si>
  <si>
    <t>Arboles de guamo vejuca</t>
  </si>
  <si>
    <t>Árboles Guacury</t>
  </si>
  <si>
    <t>Árboles de Mandarina</t>
  </si>
  <si>
    <t>Árboles de Naranjo</t>
  </si>
  <si>
    <t>Árboles de Guanabano</t>
  </si>
  <si>
    <t>Árboles de Maní</t>
  </si>
  <si>
    <t xml:space="preserve">Árboles de arbol del pan </t>
  </si>
  <si>
    <t>Árboles de caimo</t>
  </si>
  <si>
    <t>Árboles de papaya</t>
  </si>
  <si>
    <t>Árboles de guayaba</t>
  </si>
  <si>
    <t>Árboles de limon Pajarito</t>
  </si>
  <si>
    <t>Árboles de limon Mandarino</t>
  </si>
  <si>
    <t>Árboles de limon injerto</t>
  </si>
  <si>
    <t>Árboles de limon Concua</t>
  </si>
  <si>
    <t>Árboles de ayaca</t>
  </si>
  <si>
    <t>Árboles de copoazú</t>
  </si>
  <si>
    <t xml:space="preserve">Más alambre para corredor </t>
  </si>
  <si>
    <t>ACTIVIDAD # 5. Implementación de un corredor de conectividad de 574 metros de largo x 10 metros de ancho</t>
  </si>
  <si>
    <r>
      <t>Árboles de ahumado muchilero,</t>
    </r>
    <r>
      <rPr>
        <sz val="11"/>
        <color rgb="FFFF0000"/>
        <rFont val="Calibri"/>
        <family val="2"/>
      </rPr>
      <t xml:space="preserve"> 300 árboles </t>
    </r>
  </si>
  <si>
    <t>Árboles de guacury</t>
  </si>
  <si>
    <t>ACTIVIDADES DE INVERSION FAMILIA: _Nidia Motta</t>
  </si>
  <si>
    <t xml:space="preserve">ACTIVIDAD # 1. Implementación de 26  hectáreas de sistema silvopastoril de  8 potreros se sacan 26 potreros de 1 hectareas </t>
  </si>
  <si>
    <r>
      <t xml:space="preserve">ACTIVIDAD # 3. Implementación de </t>
    </r>
    <r>
      <rPr>
        <b/>
        <sz val="11"/>
        <color rgb="FFFF0000"/>
        <rFont val="Calibri"/>
        <family val="2"/>
      </rPr>
      <t>2.300</t>
    </r>
    <r>
      <rPr>
        <b/>
        <sz val="11"/>
        <color rgb="FF000000"/>
        <rFont val="Calibri"/>
        <family val="2"/>
        <charset val="1"/>
      </rPr>
      <t xml:space="preserve"> metros de cerca viva para sombrió en potrero y 270 metros de orilla de nacimiento</t>
    </r>
  </si>
  <si>
    <r>
      <t>ACTIVIDAD # 2. Implementación de</t>
    </r>
    <r>
      <rPr>
        <b/>
        <sz val="11"/>
        <color rgb="FFFF0000"/>
        <rFont val="Calibri"/>
        <family val="2"/>
      </rPr>
      <t xml:space="preserve"> 1000</t>
    </r>
    <r>
      <rPr>
        <b/>
        <sz val="11"/>
        <color rgb="FF000000"/>
        <rFont val="Calibri"/>
        <family val="2"/>
        <charset val="1"/>
      </rPr>
      <t xml:space="preserve"> metros de acueducto ganadero</t>
    </r>
  </si>
  <si>
    <t>ACTIVIDADES DE INVERSION FAMILIA: _Mauricio Asencio</t>
  </si>
  <si>
    <t>Árbol de la zona</t>
  </si>
  <si>
    <t>ACTIVIDAD # 4. Implementación de 1 hectáreas de SAF con  frutales y pan coger</t>
  </si>
  <si>
    <t>Abejas</t>
  </si>
  <si>
    <t xml:space="preserve">Abejas </t>
  </si>
  <si>
    <t>ACTIVIDADES DE INVERSION FAMILIA: _Ivan Ibarra</t>
  </si>
  <si>
    <t>ACTIVIDADES DE INVERSION FAMILIA: _Luis Eduardo Gomez</t>
  </si>
  <si>
    <t xml:space="preserve">ACTIVIDAD # 1. Implementación de 19 hectáreas de sistema silvopastoril de  7 potreros se sacan 20 potreros de 0,5 hectareas </t>
  </si>
  <si>
    <t>Corredor</t>
  </si>
  <si>
    <r>
      <t xml:space="preserve">ACTIVIDAD # 3. Implementación de </t>
    </r>
    <r>
      <rPr>
        <b/>
        <sz val="11"/>
        <color rgb="FFFF0000"/>
        <rFont val="Calibri"/>
        <family val="2"/>
      </rPr>
      <t>1.800</t>
    </r>
    <r>
      <rPr>
        <b/>
        <sz val="11"/>
        <color rgb="FF000000"/>
        <rFont val="Calibri"/>
        <family val="2"/>
        <charset val="1"/>
      </rPr>
      <t xml:space="preserve"> metros de cerca viva para sombrió en potrero y 270 metros de orilla de nacimiento</t>
    </r>
  </si>
  <si>
    <t>Árbol de yopo</t>
  </si>
  <si>
    <t>Árboles de ahumado pajarito</t>
  </si>
  <si>
    <t>Falta alambre para el cerco</t>
  </si>
  <si>
    <t xml:space="preserve">Árboles de ahumado muchilero, 300 árboles </t>
  </si>
  <si>
    <t>ACTIVIDAD # 5. Implementación de un corredor de conectividad de 318 metros de largo x 15 metros de ancho</t>
  </si>
  <si>
    <t>Árbol de ahumado muchilero</t>
  </si>
  <si>
    <t>Arbol de marañon</t>
  </si>
  <si>
    <t>Arbol de laurel</t>
  </si>
  <si>
    <t>Arbol de yopo</t>
  </si>
  <si>
    <t>Arbol de guamo</t>
  </si>
  <si>
    <t>Palma de canangucha</t>
  </si>
  <si>
    <t>Palma de asai</t>
  </si>
  <si>
    <t>bore</t>
  </si>
  <si>
    <t>caña</t>
  </si>
  <si>
    <t>ACTIVIDADES DE INVERSION FAMILIA: _Victor Alfonso Bonilla</t>
  </si>
  <si>
    <t>Aislamiento</t>
  </si>
  <si>
    <t xml:space="preserve">Corredor </t>
  </si>
  <si>
    <t>SAF</t>
  </si>
  <si>
    <r>
      <t>ACTIVIDAD # 2. Implementación de</t>
    </r>
    <r>
      <rPr>
        <b/>
        <sz val="11"/>
        <color rgb="FFFF0000"/>
        <rFont val="Calibri"/>
        <family val="2"/>
      </rPr>
      <t xml:space="preserve"> 800</t>
    </r>
    <r>
      <rPr>
        <b/>
        <sz val="11"/>
        <color rgb="FF000000"/>
        <rFont val="Calibri"/>
        <family val="2"/>
        <charset val="1"/>
      </rPr>
      <t xml:space="preserve"> metros de acueducto ganadero</t>
    </r>
  </si>
  <si>
    <r>
      <t>ACTIVIDAD # 3. Implementación de</t>
    </r>
    <r>
      <rPr>
        <b/>
        <sz val="11"/>
        <color rgb="FFFF0000"/>
        <rFont val="Calibri"/>
        <family val="2"/>
      </rPr>
      <t xml:space="preserve"> 600</t>
    </r>
    <r>
      <rPr>
        <b/>
        <sz val="11"/>
        <color rgb="FF000000"/>
        <rFont val="Calibri"/>
        <family val="2"/>
        <charset val="1"/>
      </rPr>
      <t xml:space="preserve"> metros de cerca viva para sombrió en potrero y 270 metros de orilla de nacimiento</t>
    </r>
  </si>
  <si>
    <t>ACTIVIDAD # 5. Implementación de un corredor de conectividad de 210 metros de largo x 10 metros de ancho y un aislamiento de 165 metros de largo x 10 de ancho</t>
  </si>
  <si>
    <t>ACTIVIDADES DE INVERSION FAMILIA: _Cenaida Quitero</t>
  </si>
  <si>
    <t>Alambre</t>
  </si>
  <si>
    <t>Cerca viva</t>
  </si>
  <si>
    <t xml:space="preserve">Alambre cerca viva </t>
  </si>
  <si>
    <t>estantillos ssp</t>
  </si>
  <si>
    <t>Estantillos SAF</t>
  </si>
  <si>
    <t>Estantillos cerca viva</t>
  </si>
  <si>
    <t>Estantillos en total</t>
  </si>
  <si>
    <t>Aislador puntilla ssp</t>
  </si>
  <si>
    <t>Aislador puntillacercav viva</t>
  </si>
  <si>
    <t xml:space="preserve">ACTIVIDAD # 1. Implementación de 14,5 hectáreas de sistema silvopastoril de  5 potreros se sacan 16 potreros de 1 hectarea aprximada </t>
  </si>
  <si>
    <t>Manguera de 3/4"</t>
  </si>
  <si>
    <t>Árbol de espadero</t>
  </si>
  <si>
    <r>
      <t xml:space="preserve">ACTIVIDAD # 3. Implementación de </t>
    </r>
    <r>
      <rPr>
        <b/>
        <sz val="11"/>
        <color rgb="FFFF0000"/>
        <rFont val="Calibri"/>
        <family val="2"/>
      </rPr>
      <t>1.567</t>
    </r>
    <r>
      <rPr>
        <b/>
        <sz val="11"/>
        <color rgb="FF000000"/>
        <rFont val="Calibri"/>
        <family val="2"/>
        <charset val="1"/>
      </rPr>
      <t xml:space="preserve"> metros de cerca viva para sombrió en potrero </t>
    </r>
  </si>
  <si>
    <t>Árbol de uva caimarona</t>
  </si>
  <si>
    <t xml:space="preserve">Árbol del pan </t>
  </si>
  <si>
    <t>Árbol de caimo</t>
  </si>
  <si>
    <t>ACTIVIDAD # 5. Implementación de un corredor de conectividad de 106 metros de largo x 20  metros de ancho</t>
  </si>
  <si>
    <t>ACTIVIDAD # 4. Implementación de 0,75 hectáreas de SAF con  frutales y pan coger</t>
  </si>
  <si>
    <t>Arboles de ayaca</t>
  </si>
  <si>
    <t xml:space="preserve">Árboles de ahumado muchilero </t>
  </si>
  <si>
    <t>Árboles de Cedro Rosado</t>
  </si>
  <si>
    <t>Árboles de Uva Caimarona</t>
  </si>
  <si>
    <t>Árboles deárbol del pan</t>
  </si>
  <si>
    <t>Árboles de guamo vejuco</t>
  </si>
  <si>
    <t>Árboles de ucuye</t>
  </si>
  <si>
    <t>Cadena productiva distinta para Solano</t>
  </si>
  <si>
    <t>Asai</t>
  </si>
  <si>
    <t>Copoazú</t>
  </si>
  <si>
    <t>Cable para panel x  2 metro con conector (positivo y negativo)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</si>
</sst>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(&quot;$ &quot;* #,##0_);_(&quot;$ &quot;* \(#,##0\);_(&quot;$ &quot;* \-??_);_(@_)"/>
    <numFmt numFmtId="165" formatCode="_-&quot;$ &quot;* #,##0_-;&quot;-$ &quot;* #,##0_-;_-&quot;$ &quot;* \-_-;_-@_-"/>
    <numFmt numFmtId="166" formatCode="_(\$* #,##0_);_(\$* \(#,##0\);_(\$* \-_);_(@_)"/>
    <numFmt numFmtId="167" formatCode="_-&quot;$&quot;* #,##0_-;\-&quot;$&quot;* #,##0_-;_-&quot;$&quot;* &quot;-&quot;_-;_-@_-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1"/>
      <color rgb="FF181717"/>
      <name val="Calibri"/>
      <family val="2"/>
      <charset val="1"/>
    </font>
    <font>
      <sz val="11"/>
      <color rgb="FFFF0000"/>
      <name val="Calibri"/>
      <family val="2"/>
      <charset val="1"/>
    </font>
    <font>
      <b/>
      <i/>
      <u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theme="0"/>
      <name val="Arial Narrow"/>
      <family val="2"/>
    </font>
    <font>
      <sz val="12"/>
      <color theme="2" tint="-0.89999084444715716"/>
      <name val="Arial Narrow"/>
      <family val="2"/>
    </font>
    <font>
      <sz val="11"/>
      <color theme="2" tint="-0.89999084444715716"/>
      <name val="Arial Narrow"/>
      <family val="2"/>
    </font>
    <font>
      <sz val="11"/>
      <name val="Arial Narrow"/>
      <family val="2"/>
    </font>
    <font>
      <sz val="12"/>
      <color theme="2" tint="-0.89999084444715716"/>
      <name val="Calibri"/>
      <family val="2"/>
    </font>
    <font>
      <sz val="12"/>
      <color rgb="FF1D1B10"/>
      <name val="Arial Narrow"/>
      <family val="2"/>
    </font>
    <font>
      <sz val="12"/>
      <name val="Arial Narrow"/>
      <family val="2"/>
    </font>
    <font>
      <sz val="12"/>
      <color rgb="FF1D1B10"/>
      <name val="Calibri"/>
      <family val="2"/>
    </font>
    <font>
      <sz val="11"/>
      <color theme="0"/>
      <name val="Arial Narrow"/>
      <family val="2"/>
    </font>
    <font>
      <sz val="11"/>
      <color rgb="FFFF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rgb="FFFF0000"/>
      <name val="Arial Narrow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165" fontId="5" fillId="0" borderId="0" applyBorder="0" applyProtection="0"/>
    <xf numFmtId="166" fontId="5" fillId="0" borderId="0" applyBorder="0" applyProtection="0"/>
    <xf numFmtId="0" fontId="15" fillId="0" borderId="0"/>
    <xf numFmtId="167" fontId="15" fillId="0" borderId="0" applyFont="0" applyFill="0" applyBorder="0" applyAlignment="0" applyProtection="0"/>
    <xf numFmtId="0" fontId="1" fillId="0" borderId="0"/>
  </cellStyleXfs>
  <cellXfs count="128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0" fillId="0" borderId="3" xfId="1" applyNumberFormat="1" applyFont="1" applyBorder="1" applyAlignment="1" applyProtection="1">
      <alignment horizontal="center" vertical="center"/>
    </xf>
    <xf numFmtId="164" fontId="0" fillId="0" borderId="6" xfId="1" applyNumberFormat="1" applyFont="1" applyBorder="1" applyProtection="1"/>
    <xf numFmtId="0" fontId="0" fillId="0" borderId="7" xfId="0" applyBorder="1" applyAlignment="1">
      <alignment vertical="top" wrapText="1"/>
    </xf>
    <xf numFmtId="164" fontId="0" fillId="0" borderId="4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1" applyNumberFormat="1" applyFont="1" applyBorder="1" applyProtection="1"/>
    <xf numFmtId="0" fontId="6" fillId="0" borderId="3" xfId="0" applyFont="1" applyBorder="1" applyAlignment="1">
      <alignment horizontal="center" vertical="center"/>
    </xf>
    <xf numFmtId="164" fontId="0" fillId="0" borderId="4" xfId="0" applyNumberFormat="1" applyBorder="1"/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wrapText="1"/>
    </xf>
    <xf numFmtId="166" fontId="8" fillId="0" borderId="3" xfId="3" applyFont="1" applyBorder="1" applyProtection="1"/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0" borderId="6" xfId="0" applyFont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9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164" fontId="12" fillId="0" borderId="3" xfId="1" applyNumberFormat="1" applyFont="1" applyBorder="1" applyAlignment="1" applyProtection="1">
      <alignment horizontal="center" vertical="center"/>
    </xf>
    <xf numFmtId="166" fontId="6" fillId="0" borderId="3" xfId="3" applyFont="1" applyBorder="1" applyProtection="1"/>
    <xf numFmtId="0" fontId="11" fillId="0" borderId="3" xfId="0" applyFont="1" applyBorder="1" applyAlignment="1">
      <alignment horizontal="center"/>
    </xf>
    <xf numFmtId="166" fontId="8" fillId="0" borderId="3" xfId="3" applyFont="1" applyBorder="1" applyAlignment="1" applyProtection="1">
      <alignment horizontal="center" vertical="center"/>
    </xf>
    <xf numFmtId="0" fontId="2" fillId="0" borderId="3" xfId="0" applyFont="1" applyBorder="1" applyAlignment="1">
      <alignment vertical="top" wrapText="1"/>
    </xf>
    <xf numFmtId="165" fontId="7" fillId="0" borderId="0" xfId="2" applyFont="1" applyBorder="1" applyAlignment="1" applyProtection="1">
      <alignment horizontal="center" vertical="center"/>
    </xf>
    <xf numFmtId="3" fontId="0" fillId="0" borderId="0" xfId="0" applyNumberFormat="1"/>
    <xf numFmtId="0" fontId="16" fillId="3" borderId="15" xfId="4" applyFont="1" applyFill="1" applyBorder="1" applyAlignment="1">
      <alignment vertical="center"/>
    </xf>
    <xf numFmtId="0" fontId="16" fillId="3" borderId="0" xfId="4" applyFont="1" applyFill="1" applyAlignment="1">
      <alignment horizontal="left" vertical="center"/>
    </xf>
    <xf numFmtId="167" fontId="17" fillId="3" borderId="0" xfId="5" applyFont="1" applyFill="1" applyBorder="1"/>
    <xf numFmtId="167" fontId="17" fillId="3" borderId="16" xfId="5" applyFont="1" applyFill="1" applyBorder="1"/>
    <xf numFmtId="0" fontId="15" fillId="0" borderId="0" xfId="4" applyAlignment="1">
      <alignment horizontal="center"/>
    </xf>
    <xf numFmtId="0" fontId="16" fillId="3" borderId="0" xfId="4" applyFont="1" applyFill="1" applyAlignment="1">
      <alignment horizontal="left"/>
    </xf>
    <xf numFmtId="0" fontId="19" fillId="4" borderId="3" xfId="4" applyFont="1" applyFill="1" applyBorder="1" applyAlignment="1">
      <alignment horizontal="center"/>
    </xf>
    <xf numFmtId="167" fontId="19" fillId="4" borderId="3" xfId="5" applyFont="1" applyFill="1" applyBorder="1" applyAlignment="1">
      <alignment horizontal="center"/>
    </xf>
    <xf numFmtId="0" fontId="20" fillId="5" borderId="3" xfId="4" applyFont="1" applyFill="1" applyBorder="1"/>
    <xf numFmtId="0" fontId="21" fillId="3" borderId="3" xfId="4" applyFont="1" applyFill="1" applyBorder="1" applyAlignment="1">
      <alignment horizontal="center"/>
    </xf>
    <xf numFmtId="167" fontId="22" fillId="3" borderId="3" xfId="5" applyFont="1" applyFill="1" applyBorder="1"/>
    <xf numFmtId="167" fontId="17" fillId="3" borderId="3" xfId="5" applyFont="1" applyFill="1" applyBorder="1"/>
    <xf numFmtId="0" fontId="18" fillId="3" borderId="3" xfId="4" applyFont="1" applyFill="1" applyBorder="1" applyAlignment="1">
      <alignment horizontal="center"/>
    </xf>
    <xf numFmtId="0" fontId="20" fillId="5" borderId="14" xfId="4" applyFont="1" applyFill="1" applyBorder="1"/>
    <xf numFmtId="167" fontId="22" fillId="3" borderId="14" xfId="5" applyFont="1" applyFill="1" applyBorder="1"/>
    <xf numFmtId="167" fontId="17" fillId="3" borderId="14" xfId="5" applyFont="1" applyFill="1" applyBorder="1"/>
    <xf numFmtId="0" fontId="18" fillId="3" borderId="14" xfId="4" applyFont="1" applyFill="1" applyBorder="1" applyAlignment="1">
      <alignment horizontal="center"/>
    </xf>
    <xf numFmtId="0" fontId="18" fillId="5" borderId="17" xfId="0" applyFont="1" applyFill="1" applyBorder="1"/>
    <xf numFmtId="167" fontId="22" fillId="3" borderId="17" xfId="5" applyFont="1" applyFill="1" applyBorder="1"/>
    <xf numFmtId="167" fontId="17" fillId="3" borderId="17" xfId="5" applyFont="1" applyFill="1" applyBorder="1"/>
    <xf numFmtId="0" fontId="18" fillId="3" borderId="17" xfId="4" applyFont="1" applyFill="1" applyBorder="1" applyAlignment="1">
      <alignment horizontal="center"/>
    </xf>
    <xf numFmtId="0" fontId="18" fillId="5" borderId="3" xfId="4" applyFont="1" applyFill="1" applyBorder="1"/>
    <xf numFmtId="0" fontId="24" fillId="6" borderId="3" xfId="4" applyFont="1" applyFill="1" applyBorder="1"/>
    <xf numFmtId="0" fontId="20" fillId="5" borderId="3" xfId="4" applyFont="1" applyFill="1" applyBorder="1" applyAlignment="1">
      <alignment vertical="center"/>
    </xf>
    <xf numFmtId="0" fontId="18" fillId="5" borderId="3" xfId="0" applyFont="1" applyFill="1" applyBorder="1"/>
    <xf numFmtId="0" fontId="20" fillId="5" borderId="17" xfId="4" applyFont="1" applyFill="1" applyBorder="1"/>
    <xf numFmtId="0" fontId="20" fillId="5" borderId="17" xfId="4" applyFont="1" applyFill="1" applyBorder="1" applyAlignment="1">
      <alignment wrapText="1"/>
    </xf>
    <xf numFmtId="0" fontId="20" fillId="5" borderId="3" xfId="4" applyFont="1" applyFill="1" applyBorder="1" applyAlignment="1">
      <alignment wrapText="1"/>
    </xf>
    <xf numFmtId="0" fontId="25" fillId="5" borderId="3" xfId="4" applyFont="1" applyFill="1" applyBorder="1"/>
    <xf numFmtId="167" fontId="25" fillId="0" borderId="17" xfId="0" applyNumberFormat="1" applyFont="1" applyBorder="1"/>
    <xf numFmtId="167" fontId="27" fillId="4" borderId="3" xfId="5" applyFont="1" applyFill="1" applyBorder="1"/>
    <xf numFmtId="0" fontId="1" fillId="0" borderId="0" xfId="0" applyFont="1"/>
    <xf numFmtId="42" fontId="0" fillId="0" borderId="0" xfId="0" applyNumberFormat="1"/>
    <xf numFmtId="0" fontId="6" fillId="2" borderId="3" xfId="0" applyFont="1" applyFill="1" applyBorder="1" applyAlignment="1">
      <alignment horizontal="center" vertical="center"/>
    </xf>
    <xf numFmtId="0" fontId="20" fillId="0" borderId="3" xfId="4" applyFont="1" applyBorder="1"/>
    <xf numFmtId="0" fontId="9" fillId="2" borderId="3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8" fillId="0" borderId="3" xfId="0" applyFont="1" applyBorder="1" applyAlignment="1">
      <alignment horizontal="left"/>
    </xf>
    <xf numFmtId="0" fontId="28" fillId="0" borderId="3" xfId="0" applyFont="1" applyBorder="1" applyAlignment="1">
      <alignment horizontal="center"/>
    </xf>
    <xf numFmtId="0" fontId="28" fillId="0" borderId="3" xfId="0" applyFont="1" applyBorder="1" applyAlignment="1">
      <alignment wrapText="1"/>
    </xf>
    <xf numFmtId="0" fontId="0" fillId="0" borderId="13" xfId="0" applyBorder="1"/>
    <xf numFmtId="0" fontId="20" fillId="2" borderId="3" xfId="4" applyFont="1" applyFill="1" applyBorder="1"/>
    <xf numFmtId="167" fontId="22" fillId="2" borderId="3" xfId="5" applyFont="1" applyFill="1" applyBorder="1"/>
    <xf numFmtId="167" fontId="17" fillId="2" borderId="3" xfId="5" applyFont="1" applyFill="1" applyBorder="1"/>
    <xf numFmtId="0" fontId="18" fillId="2" borderId="3" xfId="4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167" fontId="22" fillId="0" borderId="3" xfId="5" applyFont="1" applyFill="1" applyBorder="1"/>
    <xf numFmtId="167" fontId="17" fillId="0" borderId="3" xfId="5" applyFont="1" applyFill="1" applyBorder="1"/>
    <xf numFmtId="0" fontId="18" fillId="0" borderId="3" xfId="4" applyFont="1" applyBorder="1" applyAlignment="1">
      <alignment horizontal="center"/>
    </xf>
    <xf numFmtId="0" fontId="0" fillId="3" borderId="0" xfId="0" applyFill="1"/>
    <xf numFmtId="0" fontId="20" fillId="2" borderId="17" xfId="4" applyFont="1" applyFill="1" applyBorder="1"/>
    <xf numFmtId="167" fontId="25" fillId="2" borderId="17" xfId="0" applyNumberFormat="1" applyFont="1" applyFill="1" applyBorder="1"/>
    <xf numFmtId="0" fontId="30" fillId="3" borderId="3" xfId="4" applyFont="1" applyFill="1" applyBorder="1" applyAlignment="1">
      <alignment horizontal="center"/>
    </xf>
    <xf numFmtId="1" fontId="27" fillId="4" borderId="3" xfId="5" applyNumberFormat="1" applyFont="1" applyFill="1" applyBorder="1"/>
    <xf numFmtId="0" fontId="29" fillId="0" borderId="6" xfId="4" applyFont="1" applyBorder="1" applyAlignment="1">
      <alignment horizontal="center"/>
    </xf>
    <xf numFmtId="0" fontId="0" fillId="2" borderId="3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center"/>
    </xf>
    <xf numFmtId="0" fontId="20" fillId="0" borderId="17" xfId="4" applyFont="1" applyBorder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31" fillId="0" borderId="3" xfId="0" applyFont="1" applyBorder="1" applyAlignment="1">
      <alignment horizontal="left"/>
    </xf>
    <xf numFmtId="0" fontId="31" fillId="0" borderId="3" xfId="0" applyFont="1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11" fillId="0" borderId="3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20" fillId="0" borderId="3" xfId="4" applyFont="1" applyBorder="1" applyAlignment="1">
      <alignment wrapText="1"/>
    </xf>
    <xf numFmtId="0" fontId="6" fillId="0" borderId="8" xfId="0" applyFont="1" applyBorder="1" applyAlignment="1">
      <alignment horizontal="center" vertical="center"/>
    </xf>
    <xf numFmtId="164" fontId="0" fillId="0" borderId="0" xfId="0" applyNumberFormat="1"/>
    <xf numFmtId="0" fontId="28" fillId="0" borderId="8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Border="1" applyAlignment="1" applyProtection="1">
      <alignment horizontal="center" vertical="center"/>
    </xf>
    <xf numFmtId="164" fontId="0" fillId="0" borderId="0" xfId="1" applyNumberFormat="1" applyFont="1" applyBorder="1" applyProtection="1"/>
    <xf numFmtId="164" fontId="0" fillId="0" borderId="3" xfId="0" applyNumberFormat="1" applyBorder="1"/>
    <xf numFmtId="0" fontId="4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10" fillId="0" borderId="3" xfId="1" applyNumberFormat="1" applyFont="1" applyBorder="1" applyAlignment="1" applyProtection="1">
      <alignment horizontal="center"/>
    </xf>
    <xf numFmtId="0" fontId="10" fillId="0" borderId="3" xfId="0" applyFont="1" applyBorder="1" applyAlignment="1">
      <alignment horizontal="center"/>
    </xf>
    <xf numFmtId="164" fontId="10" fillId="0" borderId="4" xfId="1" applyNumberFormat="1" applyFont="1" applyBorder="1" applyAlignment="1" applyProtection="1">
      <alignment horizontal="center"/>
    </xf>
    <xf numFmtId="0" fontId="10" fillId="0" borderId="10" xfId="0" applyFont="1" applyBorder="1" applyAlignment="1">
      <alignment horizontal="center"/>
    </xf>
    <xf numFmtId="164" fontId="10" fillId="0" borderId="11" xfId="1" applyNumberFormat="1" applyFont="1" applyFill="1" applyBorder="1" applyAlignment="1" applyProtection="1">
      <alignment horizontal="center"/>
    </xf>
    <xf numFmtId="0" fontId="10" fillId="0" borderId="11" xfId="0" applyFont="1" applyBorder="1" applyAlignment="1">
      <alignment horizontal="center"/>
    </xf>
    <xf numFmtId="164" fontId="10" fillId="0" borderId="12" xfId="1" applyNumberFormat="1" applyFont="1" applyFill="1" applyBorder="1" applyAlignment="1" applyProtection="1">
      <alignment horizont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</cellXfs>
  <cellStyles count="7">
    <cellStyle name="Excel Built-in Currency [0]" xfId="2" xr:uid="{8D17623D-ED0A-4264-9235-3F30C48B6F9E}"/>
    <cellStyle name="Moneda" xfId="1" builtinId="4"/>
    <cellStyle name="Moneda [0] 2" xfId="3" xr:uid="{63E14A82-B58B-41EB-A629-972B7850527B}"/>
    <cellStyle name="Moneda [0] 3" xfId="5" xr:uid="{79E1D74E-7A79-4FA5-ABC6-F2C8BBBD9720}"/>
    <cellStyle name="Normal" xfId="0" builtinId="0"/>
    <cellStyle name="Normal 2" xfId="6" xr:uid="{6A089A3F-DB64-4F9D-A457-83B0E083BA90}"/>
    <cellStyle name="Normal 3" xfId="4" xr:uid="{9237C131-9B47-4BDF-ACC8-855DEB945C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4869-7F5D-4726-A4C0-C15C6BE71DD3}">
  <dimension ref="A1:E295"/>
  <sheetViews>
    <sheetView topLeftCell="A280" workbookViewId="0">
      <selection activeCell="E292" sqref="E292"/>
    </sheetView>
  </sheetViews>
  <sheetFormatPr baseColWidth="10" defaultRowHeight="15" x14ac:dyDescent="0.25"/>
  <cols>
    <col min="1" max="1" width="62.7109375" customWidth="1"/>
    <col min="2" max="2" width="12.42578125" customWidth="1"/>
    <col min="3" max="3" width="16.42578125" style="65" customWidth="1"/>
    <col min="4" max="4" width="16.42578125" customWidth="1"/>
    <col min="5" max="5" width="18.85546875" style="1" customWidth="1"/>
    <col min="6" max="25" width="15.5703125" customWidth="1"/>
    <col min="26" max="26" width="14.140625" customWidth="1"/>
  </cols>
  <sheetData>
    <row r="1" spans="1:5" ht="16.5" x14ac:dyDescent="0.3">
      <c r="A1" s="34" t="s">
        <v>342</v>
      </c>
      <c r="B1" s="35" t="s">
        <v>94</v>
      </c>
      <c r="C1" s="36"/>
      <c r="D1" s="37"/>
      <c r="E1" s="38"/>
    </row>
    <row r="2" spans="1:5" ht="16.5" x14ac:dyDescent="0.3">
      <c r="A2" s="34" t="s">
        <v>95</v>
      </c>
      <c r="B2" s="35" t="s">
        <v>96</v>
      </c>
      <c r="C2" s="36"/>
      <c r="D2" s="37"/>
      <c r="E2" s="38"/>
    </row>
    <row r="3" spans="1:5" ht="16.5" x14ac:dyDescent="0.3">
      <c r="A3" s="34" t="s">
        <v>401</v>
      </c>
      <c r="B3" s="39"/>
      <c r="C3" s="36"/>
      <c r="D3" s="37"/>
      <c r="E3" s="89" t="s">
        <v>343</v>
      </c>
    </row>
    <row r="4" spans="1:5" ht="16.5" x14ac:dyDescent="0.3">
      <c r="A4" s="40" t="s">
        <v>97</v>
      </c>
      <c r="B4" s="40" t="s">
        <v>98</v>
      </c>
      <c r="C4" s="41" t="s">
        <v>99</v>
      </c>
      <c r="D4" s="41" t="s">
        <v>100</v>
      </c>
      <c r="E4" s="41" t="s">
        <v>323</v>
      </c>
    </row>
    <row r="5" spans="1:5" ht="15" customHeight="1" x14ac:dyDescent="0.3">
      <c r="A5" s="42" t="s">
        <v>101</v>
      </c>
      <c r="B5" s="43">
        <f t="shared" ref="B5:B68" si="0">SUM(E5:E5)</f>
        <v>0</v>
      </c>
      <c r="C5" s="44">
        <v>70000</v>
      </c>
      <c r="D5" s="45">
        <f>B5*C5</f>
        <v>0</v>
      </c>
      <c r="E5" s="46"/>
    </row>
    <row r="6" spans="1:5" ht="16.5" x14ac:dyDescent="0.3">
      <c r="A6" s="42" t="s">
        <v>102</v>
      </c>
      <c r="B6" s="43">
        <f t="shared" si="0"/>
        <v>5</v>
      </c>
      <c r="C6" s="44">
        <v>25300</v>
      </c>
      <c r="D6" s="45">
        <f t="shared" ref="D6:D70" si="1">B6*C6</f>
        <v>126500</v>
      </c>
      <c r="E6" s="46">
        <f>Rubiel_Perez!H15</f>
        <v>5</v>
      </c>
    </row>
    <row r="7" spans="1:5" ht="16.5" x14ac:dyDescent="0.3">
      <c r="A7" s="42" t="s">
        <v>103</v>
      </c>
      <c r="B7" s="43">
        <f t="shared" si="0"/>
        <v>4</v>
      </c>
      <c r="C7" s="44">
        <v>35600</v>
      </c>
      <c r="D7" s="45">
        <f t="shared" si="1"/>
        <v>142400</v>
      </c>
      <c r="E7" s="46">
        <f>Rubiel_Perez!H12</f>
        <v>4</v>
      </c>
    </row>
    <row r="8" spans="1:5" ht="16.5" x14ac:dyDescent="0.3">
      <c r="A8" s="42" t="s">
        <v>104</v>
      </c>
      <c r="B8" s="43">
        <f t="shared" si="0"/>
        <v>2</v>
      </c>
      <c r="C8" s="44">
        <v>50000</v>
      </c>
      <c r="D8" s="45">
        <f t="shared" si="1"/>
        <v>100000</v>
      </c>
      <c r="E8" s="46">
        <f>Rubiel_Perez!H14</f>
        <v>2</v>
      </c>
    </row>
    <row r="9" spans="1:5" ht="16.5" x14ac:dyDescent="0.3">
      <c r="A9" s="42" t="s">
        <v>105</v>
      </c>
      <c r="B9" s="43">
        <f t="shared" si="0"/>
        <v>10</v>
      </c>
      <c r="C9" s="44">
        <v>270000</v>
      </c>
      <c r="D9" s="45">
        <f t="shared" si="1"/>
        <v>2700000</v>
      </c>
      <c r="E9" s="46">
        <f>Rubiel_Perez!H11</f>
        <v>10</v>
      </c>
    </row>
    <row r="10" spans="1:5" ht="16.5" x14ac:dyDescent="0.3">
      <c r="A10" s="42" t="s">
        <v>344</v>
      </c>
      <c r="B10" s="43">
        <f t="shared" si="0"/>
        <v>0</v>
      </c>
      <c r="C10" s="44">
        <v>270000</v>
      </c>
      <c r="D10" s="45">
        <f t="shared" si="1"/>
        <v>0</v>
      </c>
      <c r="E10" s="46"/>
    </row>
    <row r="11" spans="1:5" ht="16.5" x14ac:dyDescent="0.3">
      <c r="A11" s="42" t="s">
        <v>345</v>
      </c>
      <c r="B11" s="43">
        <f t="shared" si="0"/>
        <v>0</v>
      </c>
      <c r="C11" s="44">
        <v>3500</v>
      </c>
      <c r="D11" s="45">
        <f t="shared" si="1"/>
        <v>0</v>
      </c>
      <c r="E11" s="46"/>
    </row>
    <row r="12" spans="1:5" ht="16.5" x14ac:dyDescent="0.3">
      <c r="A12" s="42" t="s">
        <v>106</v>
      </c>
      <c r="B12" s="43">
        <f t="shared" si="0"/>
        <v>50</v>
      </c>
      <c r="C12" s="44">
        <v>3500</v>
      </c>
      <c r="D12" s="45">
        <f t="shared" si="1"/>
        <v>175000</v>
      </c>
      <c r="E12" s="46">
        <f>Rubiel_Perez!H21</f>
        <v>50</v>
      </c>
    </row>
    <row r="13" spans="1:5" ht="16.5" x14ac:dyDescent="0.3">
      <c r="A13" s="42" t="s">
        <v>107</v>
      </c>
      <c r="B13" s="43">
        <f t="shared" si="0"/>
        <v>0</v>
      </c>
      <c r="C13" s="44">
        <v>350000</v>
      </c>
      <c r="D13" s="45">
        <f>B13*C13</f>
        <v>0</v>
      </c>
      <c r="E13" s="46"/>
    </row>
    <row r="14" spans="1:5" ht="16.5" x14ac:dyDescent="0.3">
      <c r="A14" s="47" t="s">
        <v>108</v>
      </c>
      <c r="B14" s="43">
        <f t="shared" si="0"/>
        <v>0</v>
      </c>
      <c r="C14" s="48">
        <v>350000</v>
      </c>
      <c r="D14" s="49">
        <f t="shared" si="1"/>
        <v>0</v>
      </c>
      <c r="E14" s="50"/>
    </row>
    <row r="15" spans="1:5" ht="16.5" x14ac:dyDescent="0.3">
      <c r="A15" s="42" t="s">
        <v>109</v>
      </c>
      <c r="B15" s="43">
        <f t="shared" si="0"/>
        <v>0</v>
      </c>
      <c r="C15" s="44">
        <v>350000</v>
      </c>
      <c r="D15" s="45">
        <f t="shared" si="1"/>
        <v>0</v>
      </c>
      <c r="E15" s="46"/>
    </row>
    <row r="16" spans="1:5" ht="16.5" x14ac:dyDescent="0.3">
      <c r="A16" s="59" t="s">
        <v>346</v>
      </c>
      <c r="B16" s="43">
        <f t="shared" si="0"/>
        <v>0</v>
      </c>
      <c r="C16" s="52">
        <v>123000</v>
      </c>
      <c r="D16" s="53">
        <f t="shared" si="1"/>
        <v>0</v>
      </c>
      <c r="E16" s="54"/>
    </row>
    <row r="17" spans="1:5" ht="16.5" x14ac:dyDescent="0.3">
      <c r="A17" s="51" t="s">
        <v>110</v>
      </c>
      <c r="B17" s="43">
        <f t="shared" si="0"/>
        <v>0</v>
      </c>
      <c r="C17" s="52">
        <v>350000</v>
      </c>
      <c r="D17" s="53">
        <f t="shared" si="1"/>
        <v>0</v>
      </c>
      <c r="E17" s="54"/>
    </row>
    <row r="18" spans="1:5" ht="16.5" x14ac:dyDescent="0.3">
      <c r="A18" s="42" t="s">
        <v>111</v>
      </c>
      <c r="B18" s="43">
        <f t="shared" si="0"/>
        <v>0</v>
      </c>
      <c r="C18" s="44">
        <v>3500</v>
      </c>
      <c r="D18" s="45">
        <f t="shared" si="1"/>
        <v>0</v>
      </c>
      <c r="E18" s="46"/>
    </row>
    <row r="19" spans="1:5" ht="16.5" x14ac:dyDescent="0.3">
      <c r="A19" s="42" t="s">
        <v>347</v>
      </c>
      <c r="B19" s="43">
        <f t="shared" si="0"/>
        <v>0</v>
      </c>
      <c r="C19" s="44">
        <v>10000</v>
      </c>
      <c r="D19" s="45">
        <f t="shared" si="1"/>
        <v>0</v>
      </c>
      <c r="E19" s="46"/>
    </row>
    <row r="20" spans="1:5" ht="16.5" x14ac:dyDescent="0.3">
      <c r="A20" s="42" t="s">
        <v>112</v>
      </c>
      <c r="B20" s="43">
        <f t="shared" si="0"/>
        <v>0</v>
      </c>
      <c r="C20" s="44">
        <v>350000</v>
      </c>
      <c r="D20" s="45">
        <f t="shared" si="1"/>
        <v>0</v>
      </c>
      <c r="E20" s="46"/>
    </row>
    <row r="21" spans="1:5" ht="16.5" x14ac:dyDescent="0.3">
      <c r="A21" s="55" t="s">
        <v>113</v>
      </c>
      <c r="B21" s="43">
        <f t="shared" si="0"/>
        <v>0</v>
      </c>
      <c r="C21" s="44">
        <v>350000</v>
      </c>
      <c r="D21" s="45">
        <f t="shared" si="1"/>
        <v>0</v>
      </c>
      <c r="E21" s="46"/>
    </row>
    <row r="22" spans="1:5" ht="16.5" x14ac:dyDescent="0.3">
      <c r="A22" s="42" t="s">
        <v>114</v>
      </c>
      <c r="B22" s="43">
        <f t="shared" si="0"/>
        <v>0</v>
      </c>
      <c r="C22" s="44">
        <v>350000</v>
      </c>
      <c r="D22" s="45">
        <f t="shared" si="1"/>
        <v>0</v>
      </c>
      <c r="E22" s="46"/>
    </row>
    <row r="23" spans="1:5" ht="16.5" x14ac:dyDescent="0.3">
      <c r="A23" s="42" t="s">
        <v>115</v>
      </c>
      <c r="B23" s="43">
        <f t="shared" si="0"/>
        <v>0</v>
      </c>
      <c r="C23" s="44">
        <v>350000</v>
      </c>
      <c r="D23" s="45">
        <f t="shared" si="1"/>
        <v>0</v>
      </c>
      <c r="E23" s="46"/>
    </row>
    <row r="24" spans="1:5" ht="16.5" x14ac:dyDescent="0.3">
      <c r="A24" s="42" t="s">
        <v>116</v>
      </c>
      <c r="B24" s="43">
        <f t="shared" si="0"/>
        <v>0</v>
      </c>
      <c r="C24" s="44">
        <v>350000</v>
      </c>
      <c r="D24" s="45">
        <f t="shared" si="1"/>
        <v>0</v>
      </c>
      <c r="E24" s="46"/>
    </row>
    <row r="25" spans="1:5" ht="16.5" x14ac:dyDescent="0.3">
      <c r="A25" s="42" t="s">
        <v>117</v>
      </c>
      <c r="B25" s="43">
        <f t="shared" si="0"/>
        <v>0</v>
      </c>
      <c r="C25" s="44">
        <v>350000</v>
      </c>
      <c r="D25" s="45">
        <f t="shared" si="1"/>
        <v>0</v>
      </c>
      <c r="E25" s="46"/>
    </row>
    <row r="26" spans="1:5" s="80" customFormat="1" ht="16.5" x14ac:dyDescent="0.3">
      <c r="A26" s="75" t="s">
        <v>118</v>
      </c>
      <c r="B26" s="43">
        <f t="shared" si="0"/>
        <v>4</v>
      </c>
      <c r="C26" s="76">
        <v>2500</v>
      </c>
      <c r="D26" s="77">
        <f t="shared" si="1"/>
        <v>10000</v>
      </c>
      <c r="E26" s="78">
        <f>Rubiel_Perez!H53</f>
        <v>4</v>
      </c>
    </row>
    <row r="27" spans="1:5" ht="16.5" x14ac:dyDescent="0.3">
      <c r="A27" s="42" t="s">
        <v>119</v>
      </c>
      <c r="B27" s="43">
        <f t="shared" si="0"/>
        <v>0</v>
      </c>
      <c r="C27" s="44">
        <v>2500</v>
      </c>
      <c r="D27" s="45">
        <f t="shared" si="1"/>
        <v>0</v>
      </c>
      <c r="E27" s="46"/>
    </row>
    <row r="28" spans="1:5" ht="16.5" x14ac:dyDescent="0.3">
      <c r="A28" s="42" t="s">
        <v>120</v>
      </c>
      <c r="B28" s="43">
        <f t="shared" si="0"/>
        <v>0</v>
      </c>
      <c r="C28" s="44">
        <v>3000</v>
      </c>
      <c r="D28" s="45">
        <f t="shared" si="1"/>
        <v>0</v>
      </c>
      <c r="E28" s="46"/>
    </row>
    <row r="29" spans="1:5" s="80" customFormat="1" ht="16.5" x14ac:dyDescent="0.3">
      <c r="A29" s="75" t="s">
        <v>121</v>
      </c>
      <c r="B29" s="43">
        <f t="shared" si="0"/>
        <v>4</v>
      </c>
      <c r="C29" s="76">
        <v>2500</v>
      </c>
      <c r="D29" s="77">
        <f t="shared" si="1"/>
        <v>10000</v>
      </c>
      <c r="E29" s="78">
        <f>Rubiel_Perez!H54</f>
        <v>4</v>
      </c>
    </row>
    <row r="30" spans="1:5" ht="16.5" x14ac:dyDescent="0.3">
      <c r="A30" s="42" t="s">
        <v>122</v>
      </c>
      <c r="B30" s="43">
        <f t="shared" si="0"/>
        <v>0</v>
      </c>
      <c r="C30" s="44">
        <v>2500</v>
      </c>
      <c r="D30" s="45">
        <f t="shared" si="1"/>
        <v>0</v>
      </c>
      <c r="E30" s="46"/>
    </row>
    <row r="31" spans="1:5" ht="16.5" x14ac:dyDescent="0.3">
      <c r="A31" s="42" t="s">
        <v>123</v>
      </c>
      <c r="B31" s="43">
        <f t="shared" si="0"/>
        <v>0</v>
      </c>
      <c r="C31" s="44">
        <v>3000</v>
      </c>
      <c r="D31" s="45">
        <f t="shared" si="1"/>
        <v>0</v>
      </c>
      <c r="E31" s="46"/>
    </row>
    <row r="32" spans="1:5" s="80" customFormat="1" ht="16.5" x14ac:dyDescent="0.3">
      <c r="A32" s="75" t="s">
        <v>348</v>
      </c>
      <c r="B32" s="43">
        <f t="shared" si="0"/>
        <v>1</v>
      </c>
      <c r="C32" s="76">
        <v>4000</v>
      </c>
      <c r="D32" s="77">
        <f t="shared" si="1"/>
        <v>4000</v>
      </c>
      <c r="E32" s="78">
        <f>Rubiel_Perez!H56</f>
        <v>1</v>
      </c>
    </row>
    <row r="33" spans="1:5" s="80" customFormat="1" ht="16.5" x14ac:dyDescent="0.3">
      <c r="A33" s="75" t="s">
        <v>349</v>
      </c>
      <c r="B33" s="43">
        <f t="shared" si="0"/>
        <v>1</v>
      </c>
      <c r="C33" s="76">
        <v>5000</v>
      </c>
      <c r="D33" s="77">
        <f t="shared" si="1"/>
        <v>5000</v>
      </c>
      <c r="E33" s="78">
        <f>Rubiel_Perez!H55</f>
        <v>1</v>
      </c>
    </row>
    <row r="34" spans="1:5" ht="16.5" x14ac:dyDescent="0.3">
      <c r="A34" s="56" t="s">
        <v>124</v>
      </c>
      <c r="B34" s="43">
        <f t="shared" si="0"/>
        <v>0</v>
      </c>
      <c r="C34" s="44">
        <v>9800</v>
      </c>
      <c r="D34" s="45">
        <f t="shared" si="1"/>
        <v>0</v>
      </c>
      <c r="E34" s="46"/>
    </row>
    <row r="35" spans="1:5" ht="16.5" x14ac:dyDescent="0.3">
      <c r="A35" s="42" t="s">
        <v>125</v>
      </c>
      <c r="B35" s="43">
        <f t="shared" si="0"/>
        <v>0</v>
      </c>
      <c r="C35" s="44">
        <v>40000</v>
      </c>
      <c r="D35" s="45">
        <f t="shared" si="1"/>
        <v>0</v>
      </c>
      <c r="E35" s="46"/>
    </row>
    <row r="36" spans="1:5" ht="16.5" x14ac:dyDescent="0.3">
      <c r="A36" s="42" t="s">
        <v>126</v>
      </c>
      <c r="B36" s="43">
        <f t="shared" si="0"/>
        <v>1</v>
      </c>
      <c r="C36" s="44">
        <v>1000000</v>
      </c>
      <c r="D36" s="45">
        <f t="shared" si="1"/>
        <v>1000000</v>
      </c>
      <c r="E36" s="46">
        <f>Rubiel_Perez!H17</f>
        <v>1</v>
      </c>
    </row>
    <row r="37" spans="1:5" ht="16.5" x14ac:dyDescent="0.3">
      <c r="A37" s="42" t="s">
        <v>127</v>
      </c>
      <c r="B37" s="43">
        <f t="shared" si="0"/>
        <v>0</v>
      </c>
      <c r="C37" s="44">
        <v>1250000</v>
      </c>
      <c r="D37" s="45">
        <f t="shared" si="1"/>
        <v>0</v>
      </c>
      <c r="E37" s="46"/>
    </row>
    <row r="38" spans="1:5" ht="16.5" x14ac:dyDescent="0.3">
      <c r="A38" s="42" t="s">
        <v>128</v>
      </c>
      <c r="B38" s="43">
        <f t="shared" si="0"/>
        <v>0</v>
      </c>
      <c r="C38" s="44">
        <v>1350000</v>
      </c>
      <c r="D38" s="45">
        <f t="shared" si="1"/>
        <v>0</v>
      </c>
      <c r="E38" s="46"/>
    </row>
    <row r="39" spans="1:5" ht="16.5" x14ac:dyDescent="0.3">
      <c r="A39" s="42" t="s">
        <v>129</v>
      </c>
      <c r="B39" s="43">
        <f t="shared" si="0"/>
        <v>0</v>
      </c>
      <c r="C39" s="44">
        <v>1120494</v>
      </c>
      <c r="D39" s="45">
        <f t="shared" si="1"/>
        <v>0</v>
      </c>
      <c r="E39" s="46"/>
    </row>
    <row r="40" spans="1:5" ht="16.5" x14ac:dyDescent="0.3">
      <c r="A40" s="42" t="s">
        <v>130</v>
      </c>
      <c r="B40" s="43">
        <f t="shared" si="0"/>
        <v>0</v>
      </c>
      <c r="C40" s="44">
        <v>600000</v>
      </c>
      <c r="D40" s="45">
        <f t="shared" si="1"/>
        <v>0</v>
      </c>
      <c r="E40" s="46"/>
    </row>
    <row r="41" spans="1:5" ht="16.5" x14ac:dyDescent="0.3">
      <c r="A41" s="42" t="s">
        <v>131</v>
      </c>
      <c r="B41" s="43">
        <f t="shared" si="0"/>
        <v>0</v>
      </c>
      <c r="C41" s="44">
        <v>400000</v>
      </c>
      <c r="D41" s="45">
        <f t="shared" si="1"/>
        <v>0</v>
      </c>
      <c r="E41" s="46"/>
    </row>
    <row r="42" spans="1:5" ht="16.5" x14ac:dyDescent="0.3">
      <c r="A42" s="42" t="s">
        <v>132</v>
      </c>
      <c r="B42" s="43">
        <f t="shared" si="0"/>
        <v>0</v>
      </c>
      <c r="C42" s="44">
        <v>350000</v>
      </c>
      <c r="D42" s="45">
        <f t="shared" si="1"/>
        <v>0</v>
      </c>
      <c r="E42" s="46"/>
    </row>
    <row r="43" spans="1:5" ht="16.5" x14ac:dyDescent="0.3">
      <c r="A43" s="42" t="s">
        <v>133</v>
      </c>
      <c r="B43" s="43">
        <f t="shared" si="0"/>
        <v>0</v>
      </c>
      <c r="C43" s="44">
        <v>380000</v>
      </c>
      <c r="D43" s="45">
        <f t="shared" si="1"/>
        <v>0</v>
      </c>
      <c r="E43" s="46"/>
    </row>
    <row r="44" spans="1:5" ht="16.5" x14ac:dyDescent="0.3">
      <c r="A44" s="42" t="s">
        <v>134</v>
      </c>
      <c r="B44" s="43">
        <f t="shared" si="0"/>
        <v>0</v>
      </c>
      <c r="C44" s="44">
        <v>720000</v>
      </c>
      <c r="D44" s="45">
        <f t="shared" si="1"/>
        <v>0</v>
      </c>
      <c r="E44" s="46"/>
    </row>
    <row r="45" spans="1:5" ht="16.5" x14ac:dyDescent="0.3">
      <c r="A45" s="42"/>
      <c r="B45" s="43">
        <f t="shared" si="0"/>
        <v>0</v>
      </c>
      <c r="C45" s="44"/>
      <c r="D45" s="45">
        <f t="shared" si="1"/>
        <v>0</v>
      </c>
      <c r="E45" s="46"/>
    </row>
    <row r="46" spans="1:5" ht="16.5" x14ac:dyDescent="0.3">
      <c r="A46" s="57" t="s">
        <v>135</v>
      </c>
      <c r="B46" s="43">
        <f t="shared" si="0"/>
        <v>0</v>
      </c>
      <c r="C46" s="44">
        <v>35000</v>
      </c>
      <c r="D46" s="45">
        <f t="shared" si="1"/>
        <v>0</v>
      </c>
      <c r="E46" s="46"/>
    </row>
    <row r="47" spans="1:5" ht="16.5" x14ac:dyDescent="0.3">
      <c r="A47" s="42" t="s">
        <v>136</v>
      </c>
      <c r="B47" s="43">
        <f t="shared" si="0"/>
        <v>0</v>
      </c>
      <c r="C47" s="44">
        <v>380000</v>
      </c>
      <c r="D47" s="45">
        <f t="shared" si="1"/>
        <v>0</v>
      </c>
      <c r="E47" s="46"/>
    </row>
    <row r="48" spans="1:5" ht="16.5" x14ac:dyDescent="0.3">
      <c r="A48" s="42" t="s">
        <v>137</v>
      </c>
      <c r="B48" s="43">
        <f t="shared" si="0"/>
        <v>0</v>
      </c>
      <c r="C48" s="44">
        <v>450000</v>
      </c>
      <c r="D48" s="45">
        <f t="shared" si="1"/>
        <v>0</v>
      </c>
      <c r="E48" s="46"/>
    </row>
    <row r="49" spans="1:5" ht="16.5" x14ac:dyDescent="0.3">
      <c r="A49" s="42" t="s">
        <v>350</v>
      </c>
      <c r="B49" s="43">
        <f t="shared" si="0"/>
        <v>0</v>
      </c>
      <c r="C49" s="44">
        <v>300000</v>
      </c>
      <c r="D49" s="45">
        <f t="shared" si="1"/>
        <v>0</v>
      </c>
      <c r="E49" s="46"/>
    </row>
    <row r="50" spans="1:5" ht="16.5" x14ac:dyDescent="0.3">
      <c r="A50" s="42" t="s">
        <v>138</v>
      </c>
      <c r="B50" s="43">
        <f t="shared" si="0"/>
        <v>0</v>
      </c>
      <c r="C50" s="44">
        <v>35000</v>
      </c>
      <c r="D50" s="45">
        <f t="shared" si="1"/>
        <v>0</v>
      </c>
      <c r="E50" s="46"/>
    </row>
    <row r="51" spans="1:5" ht="16.5" x14ac:dyDescent="0.3">
      <c r="A51" s="42" t="s">
        <v>139</v>
      </c>
      <c r="B51" s="43">
        <f t="shared" si="0"/>
        <v>0</v>
      </c>
      <c r="C51" s="44">
        <v>3500</v>
      </c>
      <c r="D51" s="45">
        <f t="shared" si="1"/>
        <v>0</v>
      </c>
      <c r="E51" s="46"/>
    </row>
    <row r="52" spans="1:5" ht="16.5" x14ac:dyDescent="0.3">
      <c r="A52" s="42" t="s">
        <v>140</v>
      </c>
      <c r="B52" s="43">
        <f t="shared" si="0"/>
        <v>0</v>
      </c>
      <c r="C52" s="44">
        <v>600</v>
      </c>
      <c r="D52" s="45">
        <f t="shared" si="1"/>
        <v>0</v>
      </c>
      <c r="E52" s="46"/>
    </row>
    <row r="53" spans="1:5" ht="16.5" x14ac:dyDescent="0.3">
      <c r="A53" s="42" t="s">
        <v>141</v>
      </c>
      <c r="B53" s="43">
        <f t="shared" si="0"/>
        <v>0</v>
      </c>
      <c r="C53" s="44">
        <v>23000</v>
      </c>
      <c r="D53" s="45">
        <f t="shared" si="1"/>
        <v>0</v>
      </c>
      <c r="E53" s="46"/>
    </row>
    <row r="54" spans="1:5" ht="16.5" x14ac:dyDescent="0.3">
      <c r="A54" s="42" t="s">
        <v>142</v>
      </c>
      <c r="B54" s="43">
        <f t="shared" si="0"/>
        <v>0</v>
      </c>
      <c r="C54" s="44">
        <v>250000</v>
      </c>
      <c r="D54" s="45">
        <f t="shared" si="1"/>
        <v>0</v>
      </c>
      <c r="E54" s="46"/>
    </row>
    <row r="55" spans="1:5" ht="16.5" x14ac:dyDescent="0.3">
      <c r="A55" s="42" t="s">
        <v>143</v>
      </c>
      <c r="B55" s="43">
        <f t="shared" si="0"/>
        <v>0</v>
      </c>
      <c r="C55" s="44">
        <v>5000</v>
      </c>
      <c r="D55" s="45">
        <f t="shared" si="1"/>
        <v>0</v>
      </c>
      <c r="E55" s="46"/>
    </row>
    <row r="56" spans="1:5" ht="16.5" x14ac:dyDescent="0.3">
      <c r="A56" s="42" t="s">
        <v>144</v>
      </c>
      <c r="B56" s="43">
        <f t="shared" si="0"/>
        <v>0</v>
      </c>
      <c r="C56" s="44">
        <v>7500</v>
      </c>
      <c r="D56" s="45">
        <f t="shared" si="1"/>
        <v>0</v>
      </c>
      <c r="E56" s="46"/>
    </row>
    <row r="57" spans="1:5" ht="16.5" x14ac:dyDescent="0.3">
      <c r="A57" s="42" t="s">
        <v>351</v>
      </c>
      <c r="B57" s="43">
        <f t="shared" si="0"/>
        <v>0</v>
      </c>
      <c r="C57" s="44">
        <v>480000</v>
      </c>
      <c r="D57" s="45">
        <f t="shared" si="1"/>
        <v>0</v>
      </c>
      <c r="E57" s="46"/>
    </row>
    <row r="58" spans="1:5" ht="16.5" x14ac:dyDescent="0.3">
      <c r="A58" s="42" t="s">
        <v>145</v>
      </c>
      <c r="B58" s="43">
        <f t="shared" si="0"/>
        <v>0</v>
      </c>
      <c r="C58" s="44">
        <v>3500</v>
      </c>
      <c r="D58" s="45">
        <f t="shared" si="1"/>
        <v>0</v>
      </c>
      <c r="E58" s="46"/>
    </row>
    <row r="59" spans="1:5" s="80" customFormat="1" ht="15" customHeight="1" x14ac:dyDescent="0.3">
      <c r="A59" s="75" t="s">
        <v>146</v>
      </c>
      <c r="B59" s="43">
        <f t="shared" si="0"/>
        <v>20</v>
      </c>
      <c r="C59" s="76">
        <v>16000</v>
      </c>
      <c r="D59" s="77">
        <f t="shared" si="1"/>
        <v>320000</v>
      </c>
      <c r="E59" s="78">
        <f>Rubiel_Perez!H63</f>
        <v>20</v>
      </c>
    </row>
    <row r="60" spans="1:5" ht="15" customHeight="1" x14ac:dyDescent="0.3">
      <c r="A60" s="42" t="s">
        <v>352</v>
      </c>
      <c r="B60" s="43">
        <f t="shared" si="0"/>
        <v>0</v>
      </c>
      <c r="C60" s="81">
        <v>300000</v>
      </c>
      <c r="D60" s="82">
        <f t="shared" si="1"/>
        <v>0</v>
      </c>
      <c r="E60" s="83"/>
    </row>
    <row r="61" spans="1:5" s="80" customFormat="1" ht="16.5" x14ac:dyDescent="0.3">
      <c r="A61" s="75" t="s">
        <v>147</v>
      </c>
      <c r="B61" s="43">
        <f t="shared" si="0"/>
        <v>3</v>
      </c>
      <c r="C61" s="76">
        <v>45000</v>
      </c>
      <c r="D61" s="77">
        <f t="shared" si="1"/>
        <v>135000</v>
      </c>
      <c r="E61" s="78">
        <f>Rubiel_Perez!H113</f>
        <v>3</v>
      </c>
    </row>
    <row r="62" spans="1:5" ht="16.5" x14ac:dyDescent="0.3">
      <c r="A62" s="42" t="s">
        <v>148</v>
      </c>
      <c r="B62" s="43">
        <f t="shared" si="0"/>
        <v>0</v>
      </c>
      <c r="C62" s="44">
        <v>32000</v>
      </c>
      <c r="D62" s="45">
        <f t="shared" si="1"/>
        <v>0</v>
      </c>
      <c r="E62" s="46"/>
    </row>
    <row r="63" spans="1:5" s="80" customFormat="1" ht="16.5" x14ac:dyDescent="0.3">
      <c r="A63" s="75" t="s">
        <v>149</v>
      </c>
      <c r="B63" s="43">
        <f t="shared" si="0"/>
        <v>1</v>
      </c>
      <c r="C63" s="76">
        <v>125000</v>
      </c>
      <c r="D63" s="77">
        <f t="shared" si="1"/>
        <v>125000</v>
      </c>
      <c r="E63" s="78">
        <f>Rubiel_Perez!H99</f>
        <v>1</v>
      </c>
    </row>
    <row r="64" spans="1:5" ht="16.5" x14ac:dyDescent="0.3">
      <c r="A64" s="42" t="s">
        <v>150</v>
      </c>
      <c r="B64" s="43">
        <f t="shared" si="0"/>
        <v>1</v>
      </c>
      <c r="C64" s="44">
        <v>125000</v>
      </c>
      <c r="D64" s="45">
        <f t="shared" si="1"/>
        <v>125000</v>
      </c>
      <c r="E64" s="46">
        <f>Rubiel_Perez!H60</f>
        <v>1</v>
      </c>
    </row>
    <row r="65" spans="1:5" ht="16.5" x14ac:dyDescent="0.3">
      <c r="A65" s="42" t="s">
        <v>151</v>
      </c>
      <c r="B65" s="43">
        <f t="shared" si="0"/>
        <v>0</v>
      </c>
      <c r="C65" s="44">
        <v>24700</v>
      </c>
      <c r="D65" s="45">
        <f t="shared" si="1"/>
        <v>0</v>
      </c>
      <c r="E65" s="46"/>
    </row>
    <row r="66" spans="1:5" ht="16.5" x14ac:dyDescent="0.3">
      <c r="A66" s="42" t="s">
        <v>152</v>
      </c>
      <c r="B66" s="43">
        <f t="shared" si="0"/>
        <v>0</v>
      </c>
      <c r="C66" s="44">
        <v>23500</v>
      </c>
      <c r="D66" s="45">
        <f t="shared" si="1"/>
        <v>0</v>
      </c>
      <c r="E66" s="46"/>
    </row>
    <row r="67" spans="1:5" ht="16.5" x14ac:dyDescent="0.3">
      <c r="A67" s="42" t="s">
        <v>153</v>
      </c>
      <c r="B67" s="43">
        <f t="shared" si="0"/>
        <v>0</v>
      </c>
      <c r="C67" s="44">
        <v>2500</v>
      </c>
      <c r="D67" s="45">
        <f t="shared" si="1"/>
        <v>0</v>
      </c>
      <c r="E67" s="46"/>
    </row>
    <row r="68" spans="1:5" s="80" customFormat="1" ht="16.5" x14ac:dyDescent="0.3">
      <c r="A68" s="75" t="s">
        <v>20</v>
      </c>
      <c r="B68" s="43">
        <f t="shared" si="0"/>
        <v>2</v>
      </c>
      <c r="C68" s="76">
        <v>2500</v>
      </c>
      <c r="D68" s="77">
        <f t="shared" si="1"/>
        <v>5000</v>
      </c>
      <c r="E68" s="78">
        <f>Rubiel_Perez!H38</f>
        <v>2</v>
      </c>
    </row>
    <row r="69" spans="1:5" s="84" customFormat="1" ht="16.5" x14ac:dyDescent="0.3">
      <c r="A69" s="42" t="s">
        <v>154</v>
      </c>
      <c r="B69" s="43">
        <f t="shared" ref="B69:B84" si="2">SUM(E69:E69)</f>
        <v>0</v>
      </c>
      <c r="C69" s="44">
        <v>2500</v>
      </c>
      <c r="D69" s="45">
        <f t="shared" si="1"/>
        <v>0</v>
      </c>
      <c r="E69" s="46"/>
    </row>
    <row r="70" spans="1:5" ht="16.5" x14ac:dyDescent="0.3">
      <c r="A70" s="42" t="s">
        <v>155</v>
      </c>
      <c r="B70" s="43">
        <f t="shared" si="2"/>
        <v>0</v>
      </c>
      <c r="C70" s="44">
        <v>2500</v>
      </c>
      <c r="D70" s="45">
        <f t="shared" si="1"/>
        <v>0</v>
      </c>
      <c r="E70" s="46"/>
    </row>
    <row r="71" spans="1:5" s="80" customFormat="1" ht="16.5" x14ac:dyDescent="0.3">
      <c r="A71" s="75" t="s">
        <v>353</v>
      </c>
      <c r="B71" s="43">
        <f t="shared" si="2"/>
        <v>5</v>
      </c>
      <c r="C71" s="76">
        <v>5000</v>
      </c>
      <c r="D71" s="77">
        <f t="shared" ref="D71:D84" si="3">B71*C71</f>
        <v>25000</v>
      </c>
      <c r="E71" s="78">
        <f>Rubiel_Perez!H39</f>
        <v>5</v>
      </c>
    </row>
    <row r="72" spans="1:5" ht="16.5" x14ac:dyDescent="0.3">
      <c r="A72" s="42" t="s">
        <v>156</v>
      </c>
      <c r="B72" s="43">
        <f t="shared" si="2"/>
        <v>0</v>
      </c>
      <c r="C72" s="44">
        <v>2500</v>
      </c>
      <c r="D72" s="45">
        <f t="shared" si="3"/>
        <v>0</v>
      </c>
      <c r="E72" s="46"/>
    </row>
    <row r="73" spans="1:5" ht="16.5" x14ac:dyDescent="0.3">
      <c r="A73" s="42" t="s">
        <v>157</v>
      </c>
      <c r="B73" s="43">
        <f t="shared" si="2"/>
        <v>2</v>
      </c>
      <c r="C73" s="44">
        <v>2500</v>
      </c>
      <c r="D73" s="45">
        <f t="shared" si="3"/>
        <v>5000</v>
      </c>
      <c r="E73" s="46">
        <f>Rubiel_Perez!H48</f>
        <v>2</v>
      </c>
    </row>
    <row r="74" spans="1:5" ht="16.5" x14ac:dyDescent="0.3">
      <c r="A74" s="42" t="s">
        <v>354</v>
      </c>
      <c r="B74" s="43">
        <f t="shared" si="2"/>
        <v>0</v>
      </c>
      <c r="C74" s="44">
        <v>1800</v>
      </c>
      <c r="D74" s="45">
        <f t="shared" si="3"/>
        <v>0</v>
      </c>
      <c r="E74" s="46"/>
    </row>
    <row r="75" spans="1:5" ht="16.5" x14ac:dyDescent="0.3">
      <c r="A75" s="42" t="s">
        <v>158</v>
      </c>
      <c r="B75" s="43">
        <f t="shared" si="2"/>
        <v>0</v>
      </c>
      <c r="C75" s="44">
        <v>43000</v>
      </c>
      <c r="D75" s="45">
        <f t="shared" si="3"/>
        <v>0</v>
      </c>
      <c r="E75" s="46"/>
    </row>
    <row r="76" spans="1:5" ht="16.5" x14ac:dyDescent="0.3">
      <c r="A76" s="42" t="s">
        <v>159</v>
      </c>
      <c r="B76" s="43">
        <f t="shared" si="2"/>
        <v>0</v>
      </c>
      <c r="C76" s="44">
        <v>6900</v>
      </c>
      <c r="D76" s="45">
        <f t="shared" si="3"/>
        <v>0</v>
      </c>
      <c r="E76" s="46"/>
    </row>
    <row r="77" spans="1:5" ht="16.5" x14ac:dyDescent="0.3">
      <c r="A77" s="42" t="s">
        <v>160</v>
      </c>
      <c r="B77" s="43">
        <f t="shared" si="2"/>
        <v>0</v>
      </c>
      <c r="C77" s="44">
        <v>25000</v>
      </c>
      <c r="D77" s="45">
        <f t="shared" si="3"/>
        <v>0</v>
      </c>
      <c r="E77" s="46"/>
    </row>
    <row r="78" spans="1:5" ht="16.5" x14ac:dyDescent="0.3">
      <c r="A78" s="42" t="s">
        <v>161</v>
      </c>
      <c r="B78" s="43">
        <f t="shared" si="2"/>
        <v>1</v>
      </c>
      <c r="C78" s="44">
        <v>30000</v>
      </c>
      <c r="D78" s="45">
        <f t="shared" si="3"/>
        <v>30000</v>
      </c>
      <c r="E78" s="46">
        <f>Rubiel_Perez!H19</f>
        <v>1</v>
      </c>
    </row>
    <row r="79" spans="1:5" ht="16.5" x14ac:dyDescent="0.3">
      <c r="A79" s="42" t="s">
        <v>162</v>
      </c>
      <c r="B79" s="43">
        <f t="shared" si="2"/>
        <v>0</v>
      </c>
      <c r="C79" s="44">
        <v>25000</v>
      </c>
      <c r="D79" s="45">
        <f t="shared" si="3"/>
        <v>0</v>
      </c>
      <c r="E79" s="46"/>
    </row>
    <row r="80" spans="1:5" ht="16.5" x14ac:dyDescent="0.3">
      <c r="A80" s="42" t="s">
        <v>163</v>
      </c>
      <c r="B80" s="43">
        <f t="shared" si="2"/>
        <v>0</v>
      </c>
      <c r="C80" s="44">
        <v>10000</v>
      </c>
      <c r="D80" s="45">
        <f t="shared" si="3"/>
        <v>0</v>
      </c>
      <c r="E80" s="46"/>
    </row>
    <row r="81" spans="1:5" ht="16.5" x14ac:dyDescent="0.3">
      <c r="A81" s="42" t="s">
        <v>164</v>
      </c>
      <c r="B81" s="43">
        <f t="shared" si="2"/>
        <v>1</v>
      </c>
      <c r="C81" s="44">
        <v>33500</v>
      </c>
      <c r="D81" s="45">
        <f t="shared" si="3"/>
        <v>33500</v>
      </c>
      <c r="E81" s="46">
        <f>Rubiel_Perez!H20</f>
        <v>1</v>
      </c>
    </row>
    <row r="82" spans="1:5" s="80" customFormat="1" ht="16.5" x14ac:dyDescent="0.3">
      <c r="A82" s="75" t="s">
        <v>165</v>
      </c>
      <c r="B82" s="43">
        <f t="shared" si="2"/>
        <v>1</v>
      </c>
      <c r="C82" s="76">
        <v>80000</v>
      </c>
      <c r="D82" s="77">
        <f t="shared" si="3"/>
        <v>80000</v>
      </c>
      <c r="E82" s="78">
        <f>Rubiel_Perez!H115</f>
        <v>1</v>
      </c>
    </row>
    <row r="83" spans="1:5" ht="16.5" x14ac:dyDescent="0.3">
      <c r="A83" s="42" t="s">
        <v>166</v>
      </c>
      <c r="B83" s="43">
        <f t="shared" si="2"/>
        <v>0</v>
      </c>
      <c r="C83" s="44">
        <v>15000</v>
      </c>
      <c r="D83" s="45">
        <f t="shared" si="3"/>
        <v>0</v>
      </c>
      <c r="E83" s="46"/>
    </row>
    <row r="84" spans="1:5" ht="16.5" x14ac:dyDescent="0.3">
      <c r="A84" s="42" t="s">
        <v>355</v>
      </c>
      <c r="B84" s="43">
        <f t="shared" si="2"/>
        <v>4</v>
      </c>
      <c r="C84" s="44">
        <v>3000</v>
      </c>
      <c r="D84" s="45">
        <f t="shared" si="3"/>
        <v>12000</v>
      </c>
      <c r="E84" s="46">
        <f>Rubiel_Perez!H58</f>
        <v>4</v>
      </c>
    </row>
    <row r="85" spans="1:5" s="80" customFormat="1" ht="16.5" x14ac:dyDescent="0.3">
      <c r="A85" s="42" t="s">
        <v>243</v>
      </c>
      <c r="B85" s="43">
        <f t="shared" ref="B85:B116" si="4">SUM(E85:E85)</f>
        <v>0</v>
      </c>
      <c r="C85" s="44">
        <v>219200</v>
      </c>
      <c r="D85" s="45">
        <f t="shared" ref="D85:D116" si="5">B85*C85</f>
        <v>0</v>
      </c>
      <c r="E85" s="46"/>
    </row>
    <row r="86" spans="1:5" ht="16.5" x14ac:dyDescent="0.3">
      <c r="A86" s="58" t="s">
        <v>167</v>
      </c>
      <c r="B86" s="43">
        <f t="shared" si="4"/>
        <v>0</v>
      </c>
      <c r="C86" s="44">
        <v>900000</v>
      </c>
      <c r="D86" s="45">
        <f t="shared" si="5"/>
        <v>0</v>
      </c>
      <c r="E86" s="46"/>
    </row>
    <row r="87" spans="1:5" ht="16.5" x14ac:dyDescent="0.3">
      <c r="A87" s="58" t="s">
        <v>168</v>
      </c>
      <c r="B87" s="43">
        <f t="shared" si="4"/>
        <v>0</v>
      </c>
      <c r="C87" s="44">
        <v>250000</v>
      </c>
      <c r="D87" s="45">
        <f t="shared" si="5"/>
        <v>0</v>
      </c>
      <c r="E87" s="46"/>
    </row>
    <row r="88" spans="1:5" ht="16.5" x14ac:dyDescent="0.3">
      <c r="A88" s="42" t="s">
        <v>169</v>
      </c>
      <c r="B88" s="43">
        <f t="shared" si="4"/>
        <v>0</v>
      </c>
      <c r="C88" s="44">
        <v>30000</v>
      </c>
      <c r="D88" s="45">
        <f t="shared" si="5"/>
        <v>0</v>
      </c>
      <c r="E88" s="46"/>
    </row>
    <row r="89" spans="1:5" s="80" customFormat="1" ht="16.5" x14ac:dyDescent="0.3">
      <c r="A89" s="75" t="s">
        <v>170</v>
      </c>
      <c r="B89" s="43">
        <f t="shared" si="4"/>
        <v>2</v>
      </c>
      <c r="C89" s="76">
        <v>53000</v>
      </c>
      <c r="D89" s="77">
        <f t="shared" si="5"/>
        <v>106000</v>
      </c>
      <c r="E89" s="78">
        <f>Rubiel_Perez!H61</f>
        <v>2</v>
      </c>
    </row>
    <row r="90" spans="1:5" ht="16.5" x14ac:dyDescent="0.3">
      <c r="A90" s="42" t="s">
        <v>356</v>
      </c>
      <c r="B90" s="43">
        <f t="shared" si="4"/>
        <v>0</v>
      </c>
      <c r="C90" s="81">
        <v>45000</v>
      </c>
      <c r="D90" s="82">
        <f t="shared" si="5"/>
        <v>0</v>
      </c>
      <c r="E90" s="83"/>
    </row>
    <row r="91" spans="1:5" ht="16.5" x14ac:dyDescent="0.3">
      <c r="A91" s="42" t="s">
        <v>357</v>
      </c>
      <c r="B91" s="43">
        <f t="shared" si="4"/>
        <v>0</v>
      </c>
      <c r="C91" s="44">
        <v>850000</v>
      </c>
      <c r="D91" s="45">
        <f t="shared" si="5"/>
        <v>0</v>
      </c>
      <c r="E91" s="46"/>
    </row>
    <row r="92" spans="1:5" ht="16.5" x14ac:dyDescent="0.3">
      <c r="A92" s="42" t="s">
        <v>171</v>
      </c>
      <c r="B92" s="43">
        <f t="shared" si="4"/>
        <v>0</v>
      </c>
      <c r="C92" s="44">
        <v>395000</v>
      </c>
      <c r="D92" s="45">
        <f t="shared" si="5"/>
        <v>0</v>
      </c>
      <c r="E92" s="46"/>
    </row>
    <row r="93" spans="1:5" ht="16.5" x14ac:dyDescent="0.3">
      <c r="A93" s="42" t="s">
        <v>172</v>
      </c>
      <c r="B93" s="43">
        <f t="shared" si="4"/>
        <v>0</v>
      </c>
      <c r="C93" s="44">
        <v>6000</v>
      </c>
      <c r="D93" s="45">
        <f t="shared" si="5"/>
        <v>0</v>
      </c>
      <c r="E93" s="46"/>
    </row>
    <row r="94" spans="1:5" ht="16.5" x14ac:dyDescent="0.3">
      <c r="A94" s="42" t="s">
        <v>173</v>
      </c>
      <c r="B94" s="43">
        <f t="shared" si="4"/>
        <v>0</v>
      </c>
      <c r="C94" s="44">
        <v>6000</v>
      </c>
      <c r="D94" s="45">
        <f t="shared" si="5"/>
        <v>0</v>
      </c>
      <c r="E94" s="46"/>
    </row>
    <row r="95" spans="1:5" ht="16.5" x14ac:dyDescent="0.3">
      <c r="A95" s="42" t="s">
        <v>174</v>
      </c>
      <c r="B95" s="43">
        <f t="shared" si="4"/>
        <v>0</v>
      </c>
      <c r="C95" s="44">
        <v>20000</v>
      </c>
      <c r="D95" s="45">
        <f t="shared" si="5"/>
        <v>0</v>
      </c>
      <c r="E95" s="46"/>
    </row>
    <row r="96" spans="1:5" ht="16.5" x14ac:dyDescent="0.3">
      <c r="A96" s="42" t="s">
        <v>175</v>
      </c>
      <c r="B96" s="43">
        <f t="shared" si="4"/>
        <v>0</v>
      </c>
      <c r="C96" s="44">
        <v>2030000</v>
      </c>
      <c r="D96" s="45">
        <f t="shared" si="5"/>
        <v>0</v>
      </c>
      <c r="E96" s="46"/>
    </row>
    <row r="97" spans="1:5" ht="16.5" x14ac:dyDescent="0.3">
      <c r="A97" s="42" t="s">
        <v>176</v>
      </c>
      <c r="B97" s="43">
        <f t="shared" si="4"/>
        <v>0</v>
      </c>
      <c r="C97" s="44">
        <v>2100000</v>
      </c>
      <c r="D97" s="45">
        <f t="shared" si="5"/>
        <v>0</v>
      </c>
      <c r="E97" s="46"/>
    </row>
    <row r="98" spans="1:5" ht="16.5" x14ac:dyDescent="0.3">
      <c r="A98" s="42" t="s">
        <v>177</v>
      </c>
      <c r="B98" s="43">
        <f t="shared" si="4"/>
        <v>0</v>
      </c>
      <c r="C98" s="44">
        <v>2100000</v>
      </c>
      <c r="D98" s="45">
        <f t="shared" si="5"/>
        <v>0</v>
      </c>
      <c r="E98" s="46"/>
    </row>
    <row r="99" spans="1:5" ht="16.5" x14ac:dyDescent="0.3">
      <c r="A99" s="42" t="s">
        <v>178</v>
      </c>
      <c r="B99" s="43">
        <f t="shared" si="4"/>
        <v>0</v>
      </c>
      <c r="C99" s="44">
        <v>60000</v>
      </c>
      <c r="D99" s="45">
        <f t="shared" si="5"/>
        <v>0</v>
      </c>
      <c r="E99" s="46"/>
    </row>
    <row r="100" spans="1:5" ht="16.5" x14ac:dyDescent="0.3">
      <c r="A100" s="42" t="s">
        <v>179</v>
      </c>
      <c r="B100" s="43">
        <f t="shared" si="4"/>
        <v>0</v>
      </c>
      <c r="C100" s="44">
        <v>30000</v>
      </c>
      <c r="D100" s="45">
        <f t="shared" si="5"/>
        <v>0</v>
      </c>
      <c r="E100" s="46"/>
    </row>
    <row r="101" spans="1:5" ht="16.5" x14ac:dyDescent="0.3">
      <c r="A101" s="42" t="s">
        <v>180</v>
      </c>
      <c r="B101" s="43">
        <f t="shared" si="4"/>
        <v>5</v>
      </c>
      <c r="C101" s="44">
        <v>30000</v>
      </c>
      <c r="D101" s="45">
        <f t="shared" si="5"/>
        <v>150000</v>
      </c>
      <c r="E101" s="46">
        <f>Rubiel_Perez!H49</f>
        <v>5</v>
      </c>
    </row>
    <row r="102" spans="1:5" ht="16.5" x14ac:dyDescent="0.3">
      <c r="A102" s="59" t="s">
        <v>181</v>
      </c>
      <c r="B102" s="43">
        <f t="shared" si="4"/>
        <v>0</v>
      </c>
      <c r="C102" s="44">
        <v>3000</v>
      </c>
      <c r="D102" s="45">
        <f t="shared" si="5"/>
        <v>0</v>
      </c>
      <c r="E102" s="46"/>
    </row>
    <row r="103" spans="1:5" s="80" customFormat="1" ht="16.5" x14ac:dyDescent="0.3">
      <c r="A103" s="85" t="s">
        <v>358</v>
      </c>
      <c r="B103" s="43">
        <f t="shared" si="4"/>
        <v>3</v>
      </c>
      <c r="C103" s="76">
        <v>4000</v>
      </c>
      <c r="D103" s="77">
        <f t="shared" si="5"/>
        <v>12000</v>
      </c>
      <c r="E103" s="78">
        <f>Rubiel_Perez!H44</f>
        <v>3</v>
      </c>
    </row>
    <row r="104" spans="1:5" ht="16.5" x14ac:dyDescent="0.3">
      <c r="A104" s="59" t="s">
        <v>182</v>
      </c>
      <c r="B104" s="43">
        <f t="shared" si="4"/>
        <v>6</v>
      </c>
      <c r="C104" s="44">
        <v>2000</v>
      </c>
      <c r="D104" s="45">
        <f t="shared" si="5"/>
        <v>12000</v>
      </c>
      <c r="E104" s="46">
        <f>Rubiel_Perez!H43</f>
        <v>6</v>
      </c>
    </row>
    <row r="105" spans="1:5" ht="16.5" x14ac:dyDescent="0.3">
      <c r="A105" s="59" t="s">
        <v>183</v>
      </c>
      <c r="B105" s="43">
        <f t="shared" si="4"/>
        <v>10</v>
      </c>
      <c r="C105" s="44">
        <v>2000</v>
      </c>
      <c r="D105" s="45">
        <f t="shared" si="5"/>
        <v>20000</v>
      </c>
      <c r="E105" s="46">
        <f>Rubiel_Perez!H41</f>
        <v>10</v>
      </c>
    </row>
    <row r="106" spans="1:5" ht="16.5" x14ac:dyDescent="0.3">
      <c r="A106" s="59" t="s">
        <v>184</v>
      </c>
      <c r="B106" s="43">
        <f t="shared" si="4"/>
        <v>0</v>
      </c>
      <c r="C106" s="44">
        <v>3000</v>
      </c>
      <c r="D106" s="45">
        <f t="shared" si="5"/>
        <v>0</v>
      </c>
      <c r="E106" s="46"/>
    </row>
    <row r="107" spans="1:5" ht="16.5" x14ac:dyDescent="0.3">
      <c r="A107" s="60" t="s">
        <v>185</v>
      </c>
      <c r="B107" s="43">
        <f t="shared" si="4"/>
        <v>0</v>
      </c>
      <c r="C107" s="44">
        <v>400000</v>
      </c>
      <c r="D107" s="45">
        <f t="shared" si="5"/>
        <v>0</v>
      </c>
      <c r="E107" s="46"/>
    </row>
    <row r="108" spans="1:5" ht="16.5" x14ac:dyDescent="0.3">
      <c r="A108" s="60" t="s">
        <v>186</v>
      </c>
      <c r="B108" s="43">
        <f t="shared" si="4"/>
        <v>0</v>
      </c>
      <c r="C108" s="44">
        <v>420000</v>
      </c>
      <c r="D108" s="45">
        <f t="shared" si="5"/>
        <v>0</v>
      </c>
      <c r="E108" s="46"/>
    </row>
    <row r="109" spans="1:5" ht="16.5" x14ac:dyDescent="0.3">
      <c r="A109" s="60" t="s">
        <v>187</v>
      </c>
      <c r="B109" s="43">
        <f t="shared" si="4"/>
        <v>0</v>
      </c>
      <c r="C109" s="44">
        <v>380000</v>
      </c>
      <c r="D109" s="45">
        <f t="shared" si="5"/>
        <v>0</v>
      </c>
      <c r="E109" s="46"/>
    </row>
    <row r="110" spans="1:5" ht="16.5" x14ac:dyDescent="0.3">
      <c r="A110" s="60" t="s">
        <v>188</v>
      </c>
      <c r="B110" s="43">
        <f t="shared" si="4"/>
        <v>0</v>
      </c>
      <c r="C110" s="44">
        <v>400000</v>
      </c>
      <c r="D110" s="45">
        <f t="shared" si="5"/>
        <v>0</v>
      </c>
      <c r="E110" s="46"/>
    </row>
    <row r="111" spans="1:5" ht="16.5" x14ac:dyDescent="0.3">
      <c r="A111" s="60" t="s">
        <v>188</v>
      </c>
      <c r="B111" s="43">
        <f t="shared" si="4"/>
        <v>0</v>
      </c>
      <c r="C111" s="44">
        <v>380000</v>
      </c>
      <c r="D111" s="45">
        <f t="shared" si="5"/>
        <v>0</v>
      </c>
      <c r="E111" s="46"/>
    </row>
    <row r="112" spans="1:5" ht="16.5" x14ac:dyDescent="0.3">
      <c r="A112" s="61" t="s">
        <v>189</v>
      </c>
      <c r="B112" s="43">
        <f t="shared" si="4"/>
        <v>1</v>
      </c>
      <c r="C112" s="44">
        <v>450000</v>
      </c>
      <c r="D112" s="45">
        <f t="shared" si="5"/>
        <v>450000</v>
      </c>
      <c r="E112" s="46">
        <f>Rubiel_Perez!H18</f>
        <v>1</v>
      </c>
    </row>
    <row r="113" spans="1:5" ht="16.5" x14ac:dyDescent="0.3">
      <c r="A113" s="62" t="s">
        <v>190</v>
      </c>
      <c r="B113" s="43">
        <f t="shared" si="4"/>
        <v>0</v>
      </c>
      <c r="C113" s="44">
        <v>500000</v>
      </c>
      <c r="D113" s="45">
        <f t="shared" si="5"/>
        <v>0</v>
      </c>
      <c r="E113" s="46"/>
    </row>
    <row r="114" spans="1:5" ht="16.5" x14ac:dyDescent="0.3">
      <c r="A114" s="62" t="s">
        <v>191</v>
      </c>
      <c r="B114" s="43">
        <f t="shared" si="4"/>
        <v>0</v>
      </c>
      <c r="C114" s="44">
        <v>530000</v>
      </c>
      <c r="D114" s="45">
        <f t="shared" si="5"/>
        <v>0</v>
      </c>
      <c r="E114" s="46"/>
    </row>
    <row r="115" spans="1:5" ht="16.5" x14ac:dyDescent="0.3">
      <c r="A115" s="62" t="s">
        <v>192</v>
      </c>
      <c r="B115" s="43">
        <f t="shared" si="4"/>
        <v>0</v>
      </c>
      <c r="C115" s="44">
        <v>550000</v>
      </c>
      <c r="D115" s="45">
        <f t="shared" si="5"/>
        <v>0</v>
      </c>
      <c r="E115" s="46"/>
    </row>
    <row r="116" spans="1:5" ht="16.5" x14ac:dyDescent="0.3">
      <c r="A116" s="42" t="s">
        <v>244</v>
      </c>
      <c r="B116" s="43">
        <f t="shared" si="4"/>
        <v>0</v>
      </c>
      <c r="C116" s="44">
        <v>671000</v>
      </c>
      <c r="D116" s="45">
        <f t="shared" si="5"/>
        <v>0</v>
      </c>
      <c r="E116" s="46"/>
    </row>
    <row r="117" spans="1:5" ht="16.5" x14ac:dyDescent="0.3">
      <c r="A117" s="62" t="s">
        <v>194</v>
      </c>
      <c r="B117" s="43">
        <f t="shared" ref="B117:B148" si="6">SUM(E117:E117)</f>
        <v>0</v>
      </c>
      <c r="C117" s="44">
        <v>675600</v>
      </c>
      <c r="D117" s="45">
        <f t="shared" ref="D117:D148" si="7">B117*C117</f>
        <v>0</v>
      </c>
      <c r="E117" s="46"/>
    </row>
    <row r="118" spans="1:5" ht="16.5" x14ac:dyDescent="0.3">
      <c r="A118" s="42" t="s">
        <v>195</v>
      </c>
      <c r="B118" s="43">
        <f t="shared" si="6"/>
        <v>0</v>
      </c>
      <c r="C118" s="44">
        <v>30000</v>
      </c>
      <c r="D118" s="45">
        <f t="shared" si="7"/>
        <v>0</v>
      </c>
      <c r="E118" s="46"/>
    </row>
    <row r="119" spans="1:5" ht="16.5" x14ac:dyDescent="0.3">
      <c r="A119" s="42" t="s">
        <v>196</v>
      </c>
      <c r="B119" s="43">
        <f t="shared" si="6"/>
        <v>0</v>
      </c>
      <c r="C119" s="44">
        <v>500000</v>
      </c>
      <c r="D119" s="45">
        <f t="shared" si="7"/>
        <v>0</v>
      </c>
      <c r="E119" s="46"/>
    </row>
    <row r="120" spans="1:5" ht="16.5" x14ac:dyDescent="0.3">
      <c r="A120" s="42" t="s">
        <v>359</v>
      </c>
      <c r="B120" s="43">
        <f t="shared" si="6"/>
        <v>0</v>
      </c>
      <c r="C120" s="44">
        <v>2500</v>
      </c>
      <c r="D120" s="45">
        <f t="shared" si="7"/>
        <v>0</v>
      </c>
      <c r="E120" s="46"/>
    </row>
    <row r="121" spans="1:5" ht="16.5" x14ac:dyDescent="0.3">
      <c r="A121" s="42" t="s">
        <v>360</v>
      </c>
      <c r="B121" s="43">
        <f t="shared" si="6"/>
        <v>0</v>
      </c>
      <c r="C121" s="44">
        <v>300000</v>
      </c>
      <c r="D121" s="45">
        <f t="shared" si="7"/>
        <v>0</v>
      </c>
      <c r="E121" s="46"/>
    </row>
    <row r="122" spans="1:5" ht="16.5" x14ac:dyDescent="0.3">
      <c r="A122" s="42" t="s">
        <v>361</v>
      </c>
      <c r="B122" s="43">
        <f t="shared" si="6"/>
        <v>0</v>
      </c>
      <c r="C122" s="44">
        <v>560</v>
      </c>
      <c r="D122" s="45">
        <f t="shared" si="7"/>
        <v>0</v>
      </c>
      <c r="E122" s="46"/>
    </row>
    <row r="123" spans="1:5" s="80" customFormat="1" ht="16.5" x14ac:dyDescent="0.3">
      <c r="A123" s="75" t="s">
        <v>362</v>
      </c>
      <c r="B123" s="43">
        <f t="shared" si="6"/>
        <v>2</v>
      </c>
      <c r="C123" s="76">
        <v>16000</v>
      </c>
      <c r="D123" s="77">
        <f t="shared" si="7"/>
        <v>32000</v>
      </c>
      <c r="E123" s="78">
        <f>Rubiel_Perez!H111</f>
        <v>2</v>
      </c>
    </row>
    <row r="124" spans="1:5" ht="16.5" x14ac:dyDescent="0.3">
      <c r="A124" s="42" t="s">
        <v>197</v>
      </c>
      <c r="B124" s="43">
        <f t="shared" si="6"/>
        <v>0</v>
      </c>
      <c r="C124" s="44">
        <v>10000</v>
      </c>
      <c r="D124" s="45">
        <f t="shared" si="7"/>
        <v>0</v>
      </c>
      <c r="E124" s="46"/>
    </row>
    <row r="125" spans="1:5" ht="16.5" x14ac:dyDescent="0.3">
      <c r="A125" s="42" t="s">
        <v>198</v>
      </c>
      <c r="B125" s="43">
        <f t="shared" si="6"/>
        <v>0</v>
      </c>
      <c r="C125" s="44">
        <v>10000</v>
      </c>
      <c r="D125" s="45">
        <f t="shared" si="7"/>
        <v>0</v>
      </c>
      <c r="E125" s="46"/>
    </row>
    <row r="126" spans="1:5" s="80" customFormat="1" ht="16.5" x14ac:dyDescent="0.3">
      <c r="A126" s="75" t="s">
        <v>18</v>
      </c>
      <c r="B126" s="43">
        <f t="shared" si="6"/>
        <v>2</v>
      </c>
      <c r="C126" s="76">
        <v>25000</v>
      </c>
      <c r="D126" s="77">
        <f t="shared" si="7"/>
        <v>50000</v>
      </c>
      <c r="E126" s="78">
        <f>Rubiel_Perez!H33</f>
        <v>2</v>
      </c>
    </row>
    <row r="127" spans="1:5" s="80" customFormat="1" ht="16.5" x14ac:dyDescent="0.3">
      <c r="A127" s="75" t="s">
        <v>325</v>
      </c>
      <c r="B127" s="43">
        <f t="shared" si="6"/>
        <v>1</v>
      </c>
      <c r="C127" s="76">
        <v>30000</v>
      </c>
      <c r="D127" s="77">
        <f t="shared" si="7"/>
        <v>30000</v>
      </c>
      <c r="E127" s="78">
        <f>Rubiel_Perez!H34</f>
        <v>1</v>
      </c>
    </row>
    <row r="128" spans="1:5" ht="16.5" x14ac:dyDescent="0.3">
      <c r="A128" s="42" t="s">
        <v>363</v>
      </c>
      <c r="B128" s="43">
        <f t="shared" si="6"/>
        <v>1</v>
      </c>
      <c r="C128" s="81">
        <v>80000</v>
      </c>
      <c r="D128" s="82">
        <f t="shared" si="7"/>
        <v>80000</v>
      </c>
      <c r="E128" s="83">
        <f>Rubiel_Perez!H133</f>
        <v>1</v>
      </c>
    </row>
    <row r="129" spans="1:5" ht="16.5" x14ac:dyDescent="0.3">
      <c r="A129" s="42" t="s">
        <v>364</v>
      </c>
      <c r="B129" s="43">
        <f t="shared" si="6"/>
        <v>0</v>
      </c>
      <c r="C129" s="81">
        <v>30000</v>
      </c>
      <c r="D129" s="82">
        <f t="shared" si="7"/>
        <v>0</v>
      </c>
      <c r="E129" s="83"/>
    </row>
    <row r="130" spans="1:5" ht="16.5" x14ac:dyDescent="0.3">
      <c r="A130" s="42" t="s">
        <v>199</v>
      </c>
      <c r="B130" s="43">
        <f t="shared" si="6"/>
        <v>0</v>
      </c>
      <c r="C130" s="44">
        <v>15000</v>
      </c>
      <c r="D130" s="45">
        <f t="shared" si="7"/>
        <v>0</v>
      </c>
      <c r="E130" s="46"/>
    </row>
    <row r="131" spans="1:5" ht="16.5" x14ac:dyDescent="0.3">
      <c r="A131" s="42" t="s">
        <v>200</v>
      </c>
      <c r="B131" s="43">
        <f t="shared" si="6"/>
        <v>0</v>
      </c>
      <c r="C131" s="44">
        <v>158000</v>
      </c>
      <c r="D131" s="45">
        <f t="shared" si="7"/>
        <v>0</v>
      </c>
      <c r="E131" s="46"/>
    </row>
    <row r="132" spans="1:5" ht="16.5" x14ac:dyDescent="0.3">
      <c r="A132" s="42" t="s">
        <v>201</v>
      </c>
      <c r="B132" s="43">
        <f t="shared" si="6"/>
        <v>0</v>
      </c>
      <c r="C132" s="44">
        <v>50000</v>
      </c>
      <c r="D132" s="45">
        <f t="shared" si="7"/>
        <v>0</v>
      </c>
      <c r="E132" s="46"/>
    </row>
    <row r="133" spans="1:5" ht="16.5" x14ac:dyDescent="0.3">
      <c r="A133" s="42" t="s">
        <v>202</v>
      </c>
      <c r="B133" s="43">
        <f t="shared" si="6"/>
        <v>0</v>
      </c>
      <c r="C133" s="44">
        <v>50000</v>
      </c>
      <c r="D133" s="45">
        <f t="shared" si="7"/>
        <v>0</v>
      </c>
      <c r="E133" s="46"/>
    </row>
    <row r="134" spans="1:5" ht="16.5" x14ac:dyDescent="0.3">
      <c r="A134" s="42" t="s">
        <v>203</v>
      </c>
      <c r="B134" s="43">
        <f t="shared" si="6"/>
        <v>0</v>
      </c>
      <c r="C134" s="44">
        <v>50000</v>
      </c>
      <c r="D134" s="45">
        <f t="shared" si="7"/>
        <v>0</v>
      </c>
      <c r="E134" s="46"/>
    </row>
    <row r="135" spans="1:5" ht="16.5" x14ac:dyDescent="0.3">
      <c r="A135" s="42" t="s">
        <v>204</v>
      </c>
      <c r="B135" s="43">
        <f t="shared" si="6"/>
        <v>0</v>
      </c>
      <c r="C135" s="44">
        <v>25000</v>
      </c>
      <c r="D135" s="45">
        <f t="shared" si="7"/>
        <v>0</v>
      </c>
      <c r="E135" s="46"/>
    </row>
    <row r="136" spans="1:5" ht="16.5" x14ac:dyDescent="0.3">
      <c r="A136" s="42" t="s">
        <v>205</v>
      </c>
      <c r="B136" s="43">
        <f t="shared" si="6"/>
        <v>0</v>
      </c>
      <c r="C136" s="44">
        <v>55000</v>
      </c>
      <c r="D136" s="45">
        <f t="shared" si="7"/>
        <v>0</v>
      </c>
      <c r="E136" s="46"/>
    </row>
    <row r="137" spans="1:5" ht="16.5" x14ac:dyDescent="0.3">
      <c r="A137" s="42" t="s">
        <v>206</v>
      </c>
      <c r="B137" s="43">
        <f t="shared" si="6"/>
        <v>0</v>
      </c>
      <c r="C137" s="44">
        <v>90000</v>
      </c>
      <c r="D137" s="45">
        <f t="shared" si="7"/>
        <v>0</v>
      </c>
      <c r="E137" s="46"/>
    </row>
    <row r="138" spans="1:5" ht="18" customHeight="1" x14ac:dyDescent="0.3">
      <c r="A138" s="61" t="s">
        <v>207</v>
      </c>
      <c r="B138" s="43">
        <f t="shared" si="6"/>
        <v>0</v>
      </c>
      <c r="C138" s="44">
        <v>70000</v>
      </c>
      <c r="D138" s="45">
        <f t="shared" si="7"/>
        <v>0</v>
      </c>
      <c r="E138" s="46"/>
    </row>
    <row r="139" spans="1:5" ht="16.5" x14ac:dyDescent="0.3">
      <c r="A139" s="42" t="s">
        <v>208</v>
      </c>
      <c r="B139" s="43">
        <f t="shared" si="6"/>
        <v>0</v>
      </c>
      <c r="C139" s="44">
        <v>55000</v>
      </c>
      <c r="D139" s="45">
        <f t="shared" si="7"/>
        <v>0</v>
      </c>
      <c r="E139" s="46"/>
    </row>
    <row r="140" spans="1:5" ht="16.5" x14ac:dyDescent="0.3">
      <c r="A140" s="42" t="s">
        <v>209</v>
      </c>
      <c r="B140" s="43">
        <f t="shared" si="6"/>
        <v>0</v>
      </c>
      <c r="C140" s="44">
        <v>70000</v>
      </c>
      <c r="D140" s="45">
        <f t="shared" si="7"/>
        <v>0</v>
      </c>
      <c r="E140" s="46"/>
    </row>
    <row r="141" spans="1:5" ht="16.5" x14ac:dyDescent="0.3">
      <c r="A141" s="42" t="s">
        <v>210</v>
      </c>
      <c r="B141" s="43">
        <f t="shared" si="6"/>
        <v>1</v>
      </c>
      <c r="C141" s="44">
        <v>350000</v>
      </c>
      <c r="D141" s="45">
        <f t="shared" si="7"/>
        <v>350000</v>
      </c>
      <c r="E141" s="46">
        <f>Rubiel_Perez!H125</f>
        <v>1</v>
      </c>
    </row>
    <row r="142" spans="1:5" ht="16.5" x14ac:dyDescent="0.3">
      <c r="A142" s="42" t="s">
        <v>211</v>
      </c>
      <c r="B142" s="43">
        <f t="shared" si="6"/>
        <v>0</v>
      </c>
      <c r="C142" s="44">
        <v>90000</v>
      </c>
      <c r="D142" s="45">
        <f t="shared" si="7"/>
        <v>0</v>
      </c>
      <c r="E142" s="46"/>
    </row>
    <row r="143" spans="1:5" ht="16.5" x14ac:dyDescent="0.3">
      <c r="A143" s="61" t="s">
        <v>212</v>
      </c>
      <c r="B143" s="43">
        <f t="shared" si="6"/>
        <v>0</v>
      </c>
      <c r="C143" s="44">
        <v>50000</v>
      </c>
      <c r="D143" s="45">
        <f t="shared" si="7"/>
        <v>0</v>
      </c>
      <c r="E143" s="46"/>
    </row>
    <row r="144" spans="1:5" ht="16.5" x14ac:dyDescent="0.3">
      <c r="A144" s="61" t="s">
        <v>365</v>
      </c>
      <c r="B144" s="43">
        <f t="shared" si="6"/>
        <v>1</v>
      </c>
      <c r="C144" s="52">
        <v>90000</v>
      </c>
      <c r="D144" s="45">
        <f t="shared" si="7"/>
        <v>90000</v>
      </c>
      <c r="E144" s="46">
        <f>Rubiel_Perez!H131</f>
        <v>1</v>
      </c>
    </row>
    <row r="145" spans="1:5" ht="16.5" x14ac:dyDescent="0.3">
      <c r="A145" s="61" t="s">
        <v>366</v>
      </c>
      <c r="B145" s="43">
        <f t="shared" si="6"/>
        <v>1</v>
      </c>
      <c r="C145" s="52">
        <v>80000</v>
      </c>
      <c r="D145" s="45">
        <f t="shared" si="7"/>
        <v>80000</v>
      </c>
      <c r="E145" s="46">
        <f>Rubiel_Perez!H132</f>
        <v>1</v>
      </c>
    </row>
    <row r="146" spans="1:5" ht="16.5" x14ac:dyDescent="0.3">
      <c r="A146" s="42" t="s">
        <v>213</v>
      </c>
      <c r="B146" s="43">
        <f t="shared" si="6"/>
        <v>0</v>
      </c>
      <c r="C146" s="63">
        <v>450000</v>
      </c>
      <c r="D146" s="45">
        <f t="shared" si="7"/>
        <v>0</v>
      </c>
      <c r="E146" s="46"/>
    </row>
    <row r="147" spans="1:5" ht="16.5" x14ac:dyDescent="0.3">
      <c r="A147" s="42" t="s">
        <v>214</v>
      </c>
      <c r="B147" s="43">
        <f t="shared" si="6"/>
        <v>0</v>
      </c>
      <c r="C147" s="63">
        <v>400000</v>
      </c>
      <c r="D147" s="45">
        <f t="shared" si="7"/>
        <v>0</v>
      </c>
      <c r="E147" s="46"/>
    </row>
    <row r="148" spans="1:5" ht="16.5" x14ac:dyDescent="0.3">
      <c r="A148" s="42" t="s">
        <v>215</v>
      </c>
      <c r="B148" s="43">
        <f t="shared" si="6"/>
        <v>0</v>
      </c>
      <c r="C148" s="63">
        <v>220000</v>
      </c>
      <c r="D148" s="45">
        <f t="shared" si="7"/>
        <v>0</v>
      </c>
      <c r="E148" s="46"/>
    </row>
    <row r="149" spans="1:5" ht="16.5" x14ac:dyDescent="0.3">
      <c r="A149" s="42" t="s">
        <v>367</v>
      </c>
      <c r="B149" s="43">
        <f t="shared" ref="B149:B179" si="8">SUM(E149:E149)</f>
        <v>2</v>
      </c>
      <c r="C149" s="63">
        <v>200000</v>
      </c>
      <c r="D149" s="45">
        <f t="shared" ref="D149:D179" si="9">B149*C149</f>
        <v>400000</v>
      </c>
      <c r="E149" s="46">
        <f>Rubiel_Perez!H46</f>
        <v>2</v>
      </c>
    </row>
    <row r="150" spans="1:5" ht="16.5" x14ac:dyDescent="0.3">
      <c r="A150" s="42" t="s">
        <v>216</v>
      </c>
      <c r="B150" s="43">
        <f t="shared" si="8"/>
        <v>0</v>
      </c>
      <c r="C150" s="63">
        <v>140000</v>
      </c>
      <c r="D150" s="45">
        <f t="shared" si="9"/>
        <v>0</v>
      </c>
      <c r="E150" s="46"/>
    </row>
    <row r="151" spans="1:5" ht="16.5" x14ac:dyDescent="0.3">
      <c r="A151" s="42" t="s">
        <v>217</v>
      </c>
      <c r="B151" s="43">
        <f t="shared" si="8"/>
        <v>0</v>
      </c>
      <c r="C151" s="63">
        <v>250000</v>
      </c>
      <c r="D151" s="45">
        <f t="shared" si="9"/>
        <v>0</v>
      </c>
      <c r="E151" s="46"/>
    </row>
    <row r="152" spans="1:5" ht="16.5" x14ac:dyDescent="0.3">
      <c r="A152" s="42" t="s">
        <v>218</v>
      </c>
      <c r="B152" s="43">
        <f t="shared" si="8"/>
        <v>4</v>
      </c>
      <c r="C152" s="63">
        <v>190000</v>
      </c>
      <c r="D152" s="45">
        <f t="shared" si="9"/>
        <v>760000</v>
      </c>
      <c r="E152" s="46">
        <f>Rubiel_Perez!H45</f>
        <v>4</v>
      </c>
    </row>
    <row r="153" spans="1:5" ht="16.5" x14ac:dyDescent="0.3">
      <c r="A153" s="42" t="s">
        <v>219</v>
      </c>
      <c r="B153" s="43">
        <f t="shared" si="8"/>
        <v>0</v>
      </c>
      <c r="C153" s="63">
        <v>120000</v>
      </c>
      <c r="D153" s="45">
        <f t="shared" si="9"/>
        <v>0</v>
      </c>
      <c r="E153" s="46"/>
    </row>
    <row r="154" spans="1:5" ht="16.5" x14ac:dyDescent="0.3">
      <c r="A154" s="42" t="s">
        <v>220</v>
      </c>
      <c r="B154" s="43">
        <f t="shared" si="8"/>
        <v>0</v>
      </c>
      <c r="C154" s="63">
        <v>200000</v>
      </c>
      <c r="D154" s="45">
        <f t="shared" si="9"/>
        <v>0</v>
      </c>
      <c r="E154" s="46"/>
    </row>
    <row r="155" spans="1:5" ht="16.5" x14ac:dyDescent="0.3">
      <c r="A155" s="42" t="s">
        <v>221</v>
      </c>
      <c r="B155" s="43">
        <f t="shared" si="8"/>
        <v>0</v>
      </c>
      <c r="C155" s="63">
        <v>146000</v>
      </c>
      <c r="D155" s="45">
        <f t="shared" si="9"/>
        <v>0</v>
      </c>
      <c r="E155" s="46"/>
    </row>
    <row r="156" spans="1:5" s="80" customFormat="1" ht="16.5" x14ac:dyDescent="0.3">
      <c r="A156" s="75" t="s">
        <v>222</v>
      </c>
      <c r="B156" s="43">
        <f t="shared" si="8"/>
        <v>20</v>
      </c>
      <c r="C156" s="86">
        <v>12000</v>
      </c>
      <c r="D156" s="77">
        <f t="shared" si="9"/>
        <v>240000</v>
      </c>
      <c r="E156" s="78">
        <f>Rubiel_Perez!H59</f>
        <v>20</v>
      </c>
    </row>
    <row r="157" spans="1:5" ht="16.5" x14ac:dyDescent="0.3">
      <c r="A157" s="42" t="s">
        <v>223</v>
      </c>
      <c r="B157" s="43">
        <f t="shared" si="8"/>
        <v>0</v>
      </c>
      <c r="C157" s="63">
        <v>15000</v>
      </c>
      <c r="D157" s="45">
        <f t="shared" si="9"/>
        <v>0</v>
      </c>
      <c r="E157" s="46"/>
    </row>
    <row r="158" spans="1:5" ht="16.5" x14ac:dyDescent="0.3">
      <c r="A158" s="42" t="s">
        <v>224</v>
      </c>
      <c r="B158" s="43">
        <f t="shared" si="8"/>
        <v>0</v>
      </c>
      <c r="C158" s="63">
        <v>330000</v>
      </c>
      <c r="D158" s="45">
        <f t="shared" si="9"/>
        <v>0</v>
      </c>
      <c r="E158" s="46"/>
    </row>
    <row r="159" spans="1:5" ht="16.5" x14ac:dyDescent="0.3">
      <c r="A159" s="42" t="s">
        <v>225</v>
      </c>
      <c r="B159" s="43">
        <f t="shared" si="8"/>
        <v>0</v>
      </c>
      <c r="C159" s="63">
        <v>42500</v>
      </c>
      <c r="D159" s="45">
        <f t="shared" si="9"/>
        <v>0</v>
      </c>
      <c r="E159" s="46"/>
    </row>
    <row r="160" spans="1:5" ht="16.5" x14ac:dyDescent="0.3">
      <c r="A160" s="42" t="s">
        <v>226</v>
      </c>
      <c r="B160" s="43">
        <f t="shared" si="8"/>
        <v>0</v>
      </c>
      <c r="C160" s="44">
        <v>15000</v>
      </c>
      <c r="D160" s="45">
        <f t="shared" si="9"/>
        <v>0</v>
      </c>
      <c r="E160" s="46"/>
    </row>
    <row r="161" spans="1:5" ht="16.5" x14ac:dyDescent="0.3">
      <c r="A161" s="42" t="s">
        <v>227</v>
      </c>
      <c r="B161" s="43">
        <f t="shared" si="8"/>
        <v>0</v>
      </c>
      <c r="C161" s="44">
        <v>35000</v>
      </c>
      <c r="D161" s="45">
        <f t="shared" si="9"/>
        <v>0</v>
      </c>
      <c r="E161" s="46"/>
    </row>
    <row r="162" spans="1:5" ht="16.5" x14ac:dyDescent="0.3">
      <c r="A162" s="42" t="s">
        <v>228</v>
      </c>
      <c r="B162" s="43">
        <f t="shared" si="8"/>
        <v>0</v>
      </c>
      <c r="C162" s="44">
        <v>40000</v>
      </c>
      <c r="D162" s="45">
        <f t="shared" si="9"/>
        <v>0</v>
      </c>
      <c r="E162" s="46"/>
    </row>
    <row r="163" spans="1:5" ht="16.5" x14ac:dyDescent="0.3">
      <c r="A163" s="42" t="s">
        <v>229</v>
      </c>
      <c r="B163" s="43">
        <f t="shared" si="8"/>
        <v>0</v>
      </c>
      <c r="C163" s="44">
        <v>40000</v>
      </c>
      <c r="D163" s="45">
        <f t="shared" si="9"/>
        <v>0</v>
      </c>
      <c r="E163" s="46"/>
    </row>
    <row r="164" spans="1:5" ht="16.5" x14ac:dyDescent="0.3">
      <c r="A164" s="42" t="s">
        <v>230</v>
      </c>
      <c r="B164" s="43">
        <f t="shared" si="8"/>
        <v>0</v>
      </c>
      <c r="C164" s="44">
        <v>35000</v>
      </c>
      <c r="D164" s="45">
        <f t="shared" si="9"/>
        <v>0</v>
      </c>
      <c r="E164" s="46"/>
    </row>
    <row r="165" spans="1:5" ht="16.5" x14ac:dyDescent="0.3">
      <c r="A165" s="42" t="s">
        <v>231</v>
      </c>
      <c r="B165" s="43">
        <f t="shared" si="8"/>
        <v>2</v>
      </c>
      <c r="C165" s="44">
        <v>40000</v>
      </c>
      <c r="D165" s="45">
        <f t="shared" si="9"/>
        <v>80000</v>
      </c>
      <c r="E165" s="46">
        <f>Rubiel_Perez!H117</f>
        <v>2</v>
      </c>
    </row>
    <row r="166" spans="1:5" s="80" customFormat="1" ht="16.5" x14ac:dyDescent="0.3">
      <c r="A166" s="75" t="s">
        <v>232</v>
      </c>
      <c r="B166" s="43">
        <f t="shared" si="8"/>
        <v>1</v>
      </c>
      <c r="C166" s="76">
        <v>68000</v>
      </c>
      <c r="D166" s="77">
        <f t="shared" si="9"/>
        <v>68000</v>
      </c>
      <c r="E166" s="78">
        <f>Rubiel_Perez!H112</f>
        <v>1</v>
      </c>
    </row>
    <row r="167" spans="1:5" ht="16.5" x14ac:dyDescent="0.3">
      <c r="A167" s="42" t="s">
        <v>233</v>
      </c>
      <c r="B167" s="43">
        <f t="shared" si="8"/>
        <v>0</v>
      </c>
      <c r="C167" s="44">
        <v>750000</v>
      </c>
      <c r="D167" s="45">
        <f t="shared" si="9"/>
        <v>0</v>
      </c>
      <c r="E167" s="46"/>
    </row>
    <row r="168" spans="1:5" ht="16.5" x14ac:dyDescent="0.3">
      <c r="A168" s="42" t="s">
        <v>234</v>
      </c>
      <c r="B168" s="43">
        <f t="shared" si="8"/>
        <v>0</v>
      </c>
      <c r="C168" s="44">
        <v>34000</v>
      </c>
      <c r="D168" s="45">
        <f t="shared" si="9"/>
        <v>0</v>
      </c>
      <c r="E168" s="46"/>
    </row>
    <row r="169" spans="1:5" ht="16.5" x14ac:dyDescent="0.3">
      <c r="A169" s="42" t="s">
        <v>235</v>
      </c>
      <c r="B169" s="43">
        <f t="shared" si="8"/>
        <v>0</v>
      </c>
      <c r="C169" s="44">
        <v>30000</v>
      </c>
      <c r="D169" s="45">
        <f t="shared" si="9"/>
        <v>0</v>
      </c>
      <c r="E169" s="46"/>
    </row>
    <row r="170" spans="1:5" ht="16.5" x14ac:dyDescent="0.3">
      <c r="A170" s="42" t="s">
        <v>236</v>
      </c>
      <c r="B170" s="43">
        <f t="shared" si="8"/>
        <v>0</v>
      </c>
      <c r="C170" s="44">
        <v>30000</v>
      </c>
      <c r="D170" s="45">
        <f t="shared" si="9"/>
        <v>0</v>
      </c>
      <c r="E170" s="46"/>
    </row>
    <row r="171" spans="1:5" ht="16.5" x14ac:dyDescent="0.3">
      <c r="A171" s="42" t="s">
        <v>237</v>
      </c>
      <c r="B171" s="43">
        <f t="shared" si="8"/>
        <v>0</v>
      </c>
      <c r="C171" s="44">
        <v>85000</v>
      </c>
      <c r="D171" s="45">
        <f t="shared" si="9"/>
        <v>0</v>
      </c>
      <c r="E171" s="46"/>
    </row>
    <row r="172" spans="1:5" ht="16.5" x14ac:dyDescent="0.3">
      <c r="A172" s="42" t="s">
        <v>238</v>
      </c>
      <c r="B172" s="43">
        <f t="shared" si="8"/>
        <v>0</v>
      </c>
      <c r="C172" s="44">
        <v>25000</v>
      </c>
      <c r="D172" s="45">
        <f t="shared" si="9"/>
        <v>0</v>
      </c>
      <c r="E172" s="46"/>
    </row>
    <row r="173" spans="1:5" ht="16.5" x14ac:dyDescent="0.3">
      <c r="A173" s="42" t="s">
        <v>239</v>
      </c>
      <c r="B173" s="43">
        <f t="shared" si="8"/>
        <v>0</v>
      </c>
      <c r="C173" s="44">
        <v>25000</v>
      </c>
      <c r="D173" s="45">
        <f t="shared" si="9"/>
        <v>0</v>
      </c>
      <c r="E173" s="46"/>
    </row>
    <row r="174" spans="1:5" ht="16.5" x14ac:dyDescent="0.3">
      <c r="A174" s="42" t="s">
        <v>368</v>
      </c>
      <c r="B174" s="43">
        <f t="shared" si="8"/>
        <v>0</v>
      </c>
      <c r="C174" s="44">
        <v>380000</v>
      </c>
      <c r="D174" s="45">
        <f t="shared" si="9"/>
        <v>0</v>
      </c>
      <c r="E174" s="46"/>
    </row>
    <row r="175" spans="1:5" ht="16.5" x14ac:dyDescent="0.3">
      <c r="A175" s="42" t="s">
        <v>242</v>
      </c>
      <c r="B175" s="43">
        <f t="shared" si="8"/>
        <v>0</v>
      </c>
      <c r="C175" s="44">
        <v>586300</v>
      </c>
      <c r="D175" s="45">
        <f t="shared" si="9"/>
        <v>0</v>
      </c>
      <c r="E175" s="46"/>
    </row>
    <row r="176" spans="1:5" ht="16.5" x14ac:dyDescent="0.3">
      <c r="A176" s="42" t="s">
        <v>240</v>
      </c>
      <c r="B176" s="43">
        <f t="shared" si="8"/>
        <v>0</v>
      </c>
      <c r="C176" s="44">
        <v>340000</v>
      </c>
      <c r="D176" s="45">
        <f t="shared" si="9"/>
        <v>0</v>
      </c>
      <c r="E176" s="46"/>
    </row>
    <row r="177" spans="1:5" ht="16.5" x14ac:dyDescent="0.3">
      <c r="A177" s="42" t="s">
        <v>241</v>
      </c>
      <c r="B177" s="43">
        <f t="shared" si="8"/>
        <v>0</v>
      </c>
      <c r="C177" s="44">
        <v>350000</v>
      </c>
      <c r="D177" s="45">
        <f t="shared" si="9"/>
        <v>0</v>
      </c>
      <c r="E177" s="46"/>
    </row>
    <row r="178" spans="1:5" ht="16.5" x14ac:dyDescent="0.3">
      <c r="A178" s="75" t="s">
        <v>78</v>
      </c>
      <c r="B178" s="43">
        <f t="shared" si="8"/>
        <v>1</v>
      </c>
      <c r="C178" s="76">
        <v>3633300</v>
      </c>
      <c r="D178" s="77">
        <f t="shared" si="9"/>
        <v>3633300</v>
      </c>
      <c r="E178" s="78">
        <f>Rubiel_Perez!H62</f>
        <v>1</v>
      </c>
    </row>
    <row r="179" spans="1:5" ht="16.5" x14ac:dyDescent="0.3">
      <c r="A179" s="62" t="s">
        <v>193</v>
      </c>
      <c r="B179" s="43">
        <f t="shared" si="8"/>
        <v>0</v>
      </c>
      <c r="C179" s="44">
        <v>650000</v>
      </c>
      <c r="D179" s="45">
        <f t="shared" si="9"/>
        <v>0</v>
      </c>
      <c r="E179" s="46"/>
    </row>
    <row r="180" spans="1:5" ht="16.5" x14ac:dyDescent="0.3">
      <c r="A180" s="56" t="s">
        <v>245</v>
      </c>
      <c r="B180" s="43">
        <f t="shared" ref="B180:B196" si="10">SUM(E180:E180)</f>
        <v>0</v>
      </c>
      <c r="C180" s="44">
        <v>34000</v>
      </c>
      <c r="D180" s="45">
        <f t="shared" ref="D180:D198" si="11">B180*C180</f>
        <v>0</v>
      </c>
      <c r="E180" s="46"/>
    </row>
    <row r="181" spans="1:5" ht="16.5" x14ac:dyDescent="0.3">
      <c r="A181" s="42" t="s">
        <v>246</v>
      </c>
      <c r="B181" s="43">
        <f t="shared" si="10"/>
        <v>0</v>
      </c>
      <c r="C181" s="44">
        <v>4500</v>
      </c>
      <c r="D181" s="45">
        <f t="shared" si="11"/>
        <v>0</v>
      </c>
      <c r="E181" s="46"/>
    </row>
    <row r="182" spans="1:5" ht="16.5" x14ac:dyDescent="0.3">
      <c r="A182" s="42" t="s">
        <v>247</v>
      </c>
      <c r="B182" s="43">
        <f t="shared" si="10"/>
        <v>0</v>
      </c>
      <c r="C182" s="44">
        <v>8000</v>
      </c>
      <c r="D182" s="45">
        <f t="shared" si="11"/>
        <v>0</v>
      </c>
      <c r="E182" s="46"/>
    </row>
    <row r="183" spans="1:5" ht="16.5" x14ac:dyDescent="0.3">
      <c r="A183" s="42" t="s">
        <v>369</v>
      </c>
      <c r="B183" s="43">
        <f t="shared" si="10"/>
        <v>18</v>
      </c>
      <c r="C183" s="44">
        <v>24500</v>
      </c>
      <c r="D183" s="45">
        <f t="shared" si="11"/>
        <v>441000</v>
      </c>
      <c r="E183" s="46">
        <f>Rubiel_Perez!H126</f>
        <v>18</v>
      </c>
    </row>
    <row r="184" spans="1:5" ht="16.5" x14ac:dyDescent="0.3">
      <c r="A184" s="42" t="s">
        <v>370</v>
      </c>
      <c r="B184" s="43">
        <f t="shared" si="10"/>
        <v>0</v>
      </c>
      <c r="C184" s="44">
        <v>24500</v>
      </c>
      <c r="D184" s="45">
        <f t="shared" si="11"/>
        <v>0</v>
      </c>
      <c r="E184" s="46"/>
    </row>
    <row r="185" spans="1:5" ht="16.5" x14ac:dyDescent="0.3">
      <c r="A185" s="42" t="s">
        <v>248</v>
      </c>
      <c r="B185" s="43">
        <f t="shared" si="10"/>
        <v>0</v>
      </c>
      <c r="C185" s="44">
        <v>900</v>
      </c>
      <c r="D185" s="45">
        <f t="shared" si="11"/>
        <v>0</v>
      </c>
      <c r="E185" s="46"/>
    </row>
    <row r="186" spans="1:5" ht="16.5" x14ac:dyDescent="0.3">
      <c r="A186" s="42" t="s">
        <v>249</v>
      </c>
      <c r="B186" s="43">
        <f t="shared" si="10"/>
        <v>0</v>
      </c>
      <c r="C186" s="44">
        <v>5000</v>
      </c>
      <c r="D186" s="45">
        <f t="shared" si="11"/>
        <v>0</v>
      </c>
      <c r="E186" s="46"/>
    </row>
    <row r="187" spans="1:5" ht="16.5" x14ac:dyDescent="0.3">
      <c r="A187" s="42" t="s">
        <v>250</v>
      </c>
      <c r="B187" s="43">
        <f t="shared" si="10"/>
        <v>0</v>
      </c>
      <c r="C187" s="44">
        <v>5500</v>
      </c>
      <c r="D187" s="45">
        <f t="shared" si="11"/>
        <v>0</v>
      </c>
      <c r="E187" s="46"/>
    </row>
    <row r="188" spans="1:5" ht="16.5" x14ac:dyDescent="0.3">
      <c r="A188" s="56" t="s">
        <v>251</v>
      </c>
      <c r="B188" s="43">
        <f t="shared" si="10"/>
        <v>24</v>
      </c>
      <c r="C188" s="44">
        <v>6000</v>
      </c>
      <c r="D188" s="45">
        <f t="shared" si="11"/>
        <v>144000</v>
      </c>
      <c r="E188" s="46">
        <f>Rubiel_Perez!H127</f>
        <v>24</v>
      </c>
    </row>
    <row r="189" spans="1:5" ht="16.5" x14ac:dyDescent="0.3">
      <c r="A189" s="56" t="s">
        <v>252</v>
      </c>
      <c r="B189" s="43">
        <f t="shared" si="10"/>
        <v>0</v>
      </c>
      <c r="C189" s="44">
        <v>30000</v>
      </c>
      <c r="D189" s="45">
        <f t="shared" si="11"/>
        <v>0</v>
      </c>
      <c r="E189" s="46"/>
    </row>
    <row r="190" spans="1:5" ht="16.5" x14ac:dyDescent="0.3">
      <c r="A190" s="42" t="s">
        <v>253</v>
      </c>
      <c r="B190" s="43">
        <f t="shared" si="10"/>
        <v>0</v>
      </c>
      <c r="C190" s="44">
        <v>3500</v>
      </c>
      <c r="D190" s="45">
        <f t="shared" si="11"/>
        <v>0</v>
      </c>
      <c r="E190" s="46"/>
    </row>
    <row r="191" spans="1:5" ht="16.5" x14ac:dyDescent="0.3">
      <c r="A191" s="42" t="s">
        <v>254</v>
      </c>
      <c r="B191" s="43">
        <f t="shared" si="10"/>
        <v>0</v>
      </c>
      <c r="C191" s="44">
        <v>5000</v>
      </c>
      <c r="D191" s="45">
        <f t="shared" si="11"/>
        <v>0</v>
      </c>
      <c r="E191" s="46"/>
    </row>
    <row r="192" spans="1:5" ht="16.5" x14ac:dyDescent="0.3">
      <c r="A192" s="42" t="s">
        <v>255</v>
      </c>
      <c r="B192" s="43">
        <f t="shared" si="10"/>
        <v>0</v>
      </c>
      <c r="C192" s="44">
        <v>5000</v>
      </c>
      <c r="D192" s="45">
        <f t="shared" si="11"/>
        <v>0</v>
      </c>
      <c r="E192" s="46"/>
    </row>
    <row r="193" spans="1:5" ht="16.5" x14ac:dyDescent="0.3">
      <c r="A193" s="42" t="s">
        <v>256</v>
      </c>
      <c r="B193" s="43">
        <f t="shared" si="10"/>
        <v>0</v>
      </c>
      <c r="C193" s="44">
        <v>6000</v>
      </c>
      <c r="D193" s="45">
        <f t="shared" si="11"/>
        <v>0</v>
      </c>
      <c r="E193" s="46"/>
    </row>
    <row r="194" spans="1:5" ht="16.5" x14ac:dyDescent="0.3">
      <c r="A194" s="42" t="s">
        <v>257</v>
      </c>
      <c r="B194" s="43">
        <f t="shared" si="10"/>
        <v>5</v>
      </c>
      <c r="C194" s="44">
        <v>6000</v>
      </c>
      <c r="D194" s="45">
        <f t="shared" si="11"/>
        <v>30000</v>
      </c>
      <c r="E194" s="46">
        <f>Rubiel_Perez!H16</f>
        <v>5</v>
      </c>
    </row>
    <row r="195" spans="1:5" ht="16.5" x14ac:dyDescent="0.3">
      <c r="A195" s="42" t="s">
        <v>258</v>
      </c>
      <c r="B195" s="43">
        <f t="shared" si="10"/>
        <v>0</v>
      </c>
      <c r="C195" s="44">
        <v>10000</v>
      </c>
      <c r="D195" s="45">
        <f t="shared" si="11"/>
        <v>0</v>
      </c>
      <c r="E195" s="46"/>
    </row>
    <row r="196" spans="1:5" ht="16.5" x14ac:dyDescent="0.3">
      <c r="A196" s="42" t="s">
        <v>259</v>
      </c>
      <c r="B196" s="43">
        <f t="shared" si="10"/>
        <v>0</v>
      </c>
      <c r="C196" s="44">
        <v>10000</v>
      </c>
      <c r="D196" s="45">
        <f t="shared" si="11"/>
        <v>0</v>
      </c>
      <c r="E196" s="46"/>
    </row>
    <row r="197" spans="1:5" ht="16.5" customHeight="1" x14ac:dyDescent="0.3">
      <c r="A197" s="61" t="s">
        <v>260</v>
      </c>
      <c r="B197" s="43">
        <f t="shared" ref="B197:B260" si="12">SUM(E197:E197)</f>
        <v>0</v>
      </c>
      <c r="C197" s="44">
        <v>2000</v>
      </c>
      <c r="D197" s="45">
        <f t="shared" si="11"/>
        <v>0</v>
      </c>
      <c r="E197" s="46"/>
    </row>
    <row r="198" spans="1:5" ht="16.5" x14ac:dyDescent="0.3">
      <c r="A198" s="42" t="s">
        <v>261</v>
      </c>
      <c r="B198" s="43">
        <f t="shared" si="12"/>
        <v>0</v>
      </c>
      <c r="C198" s="44">
        <v>2000</v>
      </c>
      <c r="D198" s="45">
        <f t="shared" si="11"/>
        <v>0</v>
      </c>
      <c r="E198" s="46"/>
    </row>
    <row r="199" spans="1:5" ht="16.5" x14ac:dyDescent="0.3">
      <c r="A199" s="42" t="s">
        <v>262</v>
      </c>
      <c r="B199" s="43">
        <f t="shared" si="12"/>
        <v>0</v>
      </c>
      <c r="C199" s="44">
        <v>32000</v>
      </c>
      <c r="D199" s="45">
        <f t="shared" ref="D199:D262" si="13">B199*C199</f>
        <v>0</v>
      </c>
      <c r="E199" s="46"/>
    </row>
    <row r="200" spans="1:5" ht="16.5" x14ac:dyDescent="0.3">
      <c r="A200" s="42" t="s">
        <v>263</v>
      </c>
      <c r="B200" s="43">
        <f t="shared" si="12"/>
        <v>0</v>
      </c>
      <c r="C200" s="44">
        <v>110000</v>
      </c>
      <c r="D200" s="45">
        <f t="shared" si="13"/>
        <v>0</v>
      </c>
      <c r="E200" s="46"/>
    </row>
    <row r="201" spans="1:5" ht="16.5" x14ac:dyDescent="0.3">
      <c r="A201" s="42" t="s">
        <v>264</v>
      </c>
      <c r="B201" s="43">
        <f t="shared" si="12"/>
        <v>1</v>
      </c>
      <c r="C201" s="44">
        <v>130000</v>
      </c>
      <c r="D201" s="45">
        <f t="shared" si="13"/>
        <v>130000</v>
      </c>
      <c r="E201" s="46">
        <f>Rubiel_Perez!H22</f>
        <v>1</v>
      </c>
    </row>
    <row r="202" spans="1:5" ht="16.5" x14ac:dyDescent="0.3">
      <c r="A202" s="42" t="s">
        <v>265</v>
      </c>
      <c r="B202" s="43">
        <f t="shared" si="12"/>
        <v>0</v>
      </c>
      <c r="C202" s="44">
        <v>150000</v>
      </c>
      <c r="D202" s="45">
        <f t="shared" si="13"/>
        <v>0</v>
      </c>
      <c r="E202" s="46"/>
    </row>
    <row r="203" spans="1:5" s="80" customFormat="1" ht="16.5" x14ac:dyDescent="0.3">
      <c r="A203" s="75" t="s">
        <v>371</v>
      </c>
      <c r="B203" s="43">
        <f t="shared" si="12"/>
        <v>1</v>
      </c>
      <c r="C203" s="76">
        <v>7000</v>
      </c>
      <c r="D203" s="77">
        <f t="shared" si="13"/>
        <v>7000</v>
      </c>
      <c r="E203" s="78">
        <f>Rubiel_Perez!H57</f>
        <v>1</v>
      </c>
    </row>
    <row r="204" spans="1:5" s="80" customFormat="1" ht="16.5" x14ac:dyDescent="0.3">
      <c r="A204" s="75" t="s">
        <v>372</v>
      </c>
      <c r="B204" s="43">
        <f t="shared" si="12"/>
        <v>2</v>
      </c>
      <c r="C204" s="76">
        <v>2000</v>
      </c>
      <c r="D204" s="77">
        <f t="shared" si="13"/>
        <v>4000</v>
      </c>
      <c r="E204" s="78">
        <f>Rubiel_Perez!H40</f>
        <v>2</v>
      </c>
    </row>
    <row r="205" spans="1:5" s="84" customFormat="1" ht="16.5" x14ac:dyDescent="0.3">
      <c r="A205" s="42" t="s">
        <v>373</v>
      </c>
      <c r="B205" s="43">
        <f t="shared" si="12"/>
        <v>0</v>
      </c>
      <c r="C205" s="44">
        <v>1300</v>
      </c>
      <c r="D205" s="45">
        <f t="shared" si="13"/>
        <v>0</v>
      </c>
      <c r="E205" s="46"/>
    </row>
    <row r="206" spans="1:5" s="84" customFormat="1" ht="16.5" x14ac:dyDescent="0.3">
      <c r="A206" s="42" t="s">
        <v>374</v>
      </c>
      <c r="B206" s="43">
        <f t="shared" si="12"/>
        <v>0</v>
      </c>
      <c r="C206" s="44">
        <v>2000</v>
      </c>
      <c r="D206" s="45">
        <f t="shared" si="13"/>
        <v>0</v>
      </c>
      <c r="E206" s="46"/>
    </row>
    <row r="207" spans="1:5" ht="16.5" x14ac:dyDescent="0.3">
      <c r="A207" s="42" t="s">
        <v>375</v>
      </c>
      <c r="B207" s="43">
        <f t="shared" si="12"/>
        <v>0</v>
      </c>
      <c r="C207" s="44">
        <v>23000</v>
      </c>
      <c r="D207" s="45">
        <f t="shared" si="13"/>
        <v>0</v>
      </c>
      <c r="E207" s="46"/>
    </row>
    <row r="208" spans="1:5" ht="16.5" x14ac:dyDescent="0.3">
      <c r="A208" s="42" t="s">
        <v>376</v>
      </c>
      <c r="B208" s="43">
        <f t="shared" si="12"/>
        <v>0</v>
      </c>
      <c r="C208" s="44">
        <v>200000</v>
      </c>
      <c r="D208" s="45">
        <f t="shared" si="13"/>
        <v>0</v>
      </c>
      <c r="E208" s="46"/>
    </row>
    <row r="209" spans="1:5" ht="16.5" x14ac:dyDescent="0.3">
      <c r="A209" s="42" t="s">
        <v>377</v>
      </c>
      <c r="B209" s="43">
        <f t="shared" si="12"/>
        <v>0</v>
      </c>
      <c r="C209" s="44">
        <v>80000</v>
      </c>
      <c r="D209" s="45">
        <f t="shared" si="13"/>
        <v>0</v>
      </c>
      <c r="E209" s="46"/>
    </row>
    <row r="210" spans="1:5" ht="16.5" x14ac:dyDescent="0.3">
      <c r="A210" s="42" t="s">
        <v>378</v>
      </c>
      <c r="B210" s="43">
        <f t="shared" si="12"/>
        <v>0</v>
      </c>
      <c r="C210" s="44">
        <v>70000</v>
      </c>
      <c r="D210" s="45">
        <f t="shared" si="13"/>
        <v>0</v>
      </c>
      <c r="E210" s="46"/>
    </row>
    <row r="211" spans="1:5" ht="16.5" x14ac:dyDescent="0.3">
      <c r="A211" s="42" t="s">
        <v>379</v>
      </c>
      <c r="B211" s="43">
        <f t="shared" si="12"/>
        <v>0</v>
      </c>
      <c r="C211" s="44">
        <v>50000</v>
      </c>
      <c r="D211" s="45">
        <f t="shared" si="13"/>
        <v>0</v>
      </c>
      <c r="E211" s="46"/>
    </row>
    <row r="212" spans="1:5" ht="16.5" x14ac:dyDescent="0.3">
      <c r="A212" s="61" t="s">
        <v>266</v>
      </c>
      <c r="B212" s="43">
        <f t="shared" si="12"/>
        <v>0</v>
      </c>
      <c r="C212" s="44">
        <v>19000</v>
      </c>
      <c r="D212" s="45">
        <f t="shared" si="13"/>
        <v>0</v>
      </c>
      <c r="E212" s="46"/>
    </row>
    <row r="213" spans="1:5" ht="16.5" x14ac:dyDescent="0.3">
      <c r="A213" s="42" t="s">
        <v>267</v>
      </c>
      <c r="B213" s="43">
        <f t="shared" si="12"/>
        <v>0</v>
      </c>
      <c r="C213" s="44">
        <v>70000</v>
      </c>
      <c r="D213" s="45">
        <f t="shared" si="13"/>
        <v>0</v>
      </c>
      <c r="E213" s="46"/>
    </row>
    <row r="214" spans="1:5" s="80" customFormat="1" ht="16.5" x14ac:dyDescent="0.3">
      <c r="A214" s="75" t="s">
        <v>380</v>
      </c>
      <c r="B214" s="43">
        <f t="shared" si="12"/>
        <v>1</v>
      </c>
      <c r="C214" s="76">
        <v>30000</v>
      </c>
      <c r="D214" s="77">
        <f t="shared" si="13"/>
        <v>30000</v>
      </c>
      <c r="E214" s="78">
        <f>Rubiel_Perez!H114</f>
        <v>1</v>
      </c>
    </row>
    <row r="215" spans="1:5" ht="16.5" x14ac:dyDescent="0.3">
      <c r="A215" s="42" t="s">
        <v>268</v>
      </c>
      <c r="B215" s="43">
        <f t="shared" si="12"/>
        <v>0</v>
      </c>
      <c r="C215" s="44">
        <v>1200000</v>
      </c>
      <c r="D215" s="45">
        <f t="shared" si="13"/>
        <v>0</v>
      </c>
      <c r="E215" s="46"/>
    </row>
    <row r="216" spans="1:5" s="80" customFormat="1" ht="16.5" x14ac:dyDescent="0.3">
      <c r="A216" s="75" t="s">
        <v>56</v>
      </c>
      <c r="B216" s="43">
        <f t="shared" si="12"/>
        <v>2</v>
      </c>
      <c r="C216" s="76">
        <v>15000</v>
      </c>
      <c r="D216" s="77">
        <f t="shared" si="13"/>
        <v>30000</v>
      </c>
      <c r="E216" s="78">
        <f>Rubiel_Perez!H100</f>
        <v>2</v>
      </c>
    </row>
    <row r="217" spans="1:5" s="80" customFormat="1" ht="16.5" x14ac:dyDescent="0.3">
      <c r="A217" s="75" t="s">
        <v>57</v>
      </c>
      <c r="B217" s="43">
        <f t="shared" si="12"/>
        <v>2</v>
      </c>
      <c r="C217" s="76">
        <v>18000</v>
      </c>
      <c r="D217" s="77">
        <f t="shared" si="13"/>
        <v>36000</v>
      </c>
      <c r="E217" s="78">
        <f>Rubiel_Perez!H101</f>
        <v>2</v>
      </c>
    </row>
    <row r="218" spans="1:5" s="80" customFormat="1" ht="16.5" x14ac:dyDescent="0.3">
      <c r="A218" s="75" t="s">
        <v>67</v>
      </c>
      <c r="B218" s="43">
        <f t="shared" si="12"/>
        <v>1</v>
      </c>
      <c r="C218" s="76">
        <v>23000</v>
      </c>
      <c r="D218" s="77">
        <f t="shared" si="13"/>
        <v>23000</v>
      </c>
      <c r="E218" s="78">
        <f>Rubiel_Perez!H102</f>
        <v>1</v>
      </c>
    </row>
    <row r="219" spans="1:5" s="80" customFormat="1" ht="16.5" x14ac:dyDescent="0.3">
      <c r="A219" s="75" t="s">
        <v>269</v>
      </c>
      <c r="B219" s="43">
        <f t="shared" si="12"/>
        <v>1</v>
      </c>
      <c r="C219" s="76">
        <v>10000</v>
      </c>
      <c r="D219" s="77">
        <f t="shared" si="13"/>
        <v>10000</v>
      </c>
      <c r="E219" s="78">
        <f>Rubiel_Perez!H103</f>
        <v>1</v>
      </c>
    </row>
    <row r="220" spans="1:5" s="80" customFormat="1" ht="16.5" x14ac:dyDescent="0.3">
      <c r="A220" s="75" t="s">
        <v>270</v>
      </c>
      <c r="B220" s="43">
        <f t="shared" si="12"/>
        <v>1</v>
      </c>
      <c r="C220" s="76">
        <v>6000</v>
      </c>
      <c r="D220" s="77">
        <f t="shared" si="13"/>
        <v>6000</v>
      </c>
      <c r="E220" s="78">
        <f>Rubiel_Perez!H104</f>
        <v>1</v>
      </c>
    </row>
    <row r="221" spans="1:5" s="80" customFormat="1" ht="16.5" x14ac:dyDescent="0.3">
      <c r="A221" s="75" t="s">
        <v>381</v>
      </c>
      <c r="B221" s="43">
        <f t="shared" si="12"/>
        <v>1</v>
      </c>
      <c r="C221" s="76">
        <v>12000</v>
      </c>
      <c r="D221" s="77">
        <f t="shared" si="13"/>
        <v>12000</v>
      </c>
      <c r="E221" s="78">
        <f>Rubiel_Perez!H105</f>
        <v>1</v>
      </c>
    </row>
    <row r="222" spans="1:5" s="80" customFormat="1" ht="16.5" x14ac:dyDescent="0.3">
      <c r="A222" s="75" t="s">
        <v>271</v>
      </c>
      <c r="B222" s="43">
        <f t="shared" si="12"/>
        <v>1</v>
      </c>
      <c r="C222" s="76">
        <v>70000</v>
      </c>
      <c r="D222" s="77">
        <f t="shared" si="13"/>
        <v>70000</v>
      </c>
      <c r="E222" s="78">
        <f>Rubiel_Perez!H108</f>
        <v>1</v>
      </c>
    </row>
    <row r="223" spans="1:5" s="80" customFormat="1" ht="16.5" x14ac:dyDescent="0.3">
      <c r="A223" s="75" t="s">
        <v>272</v>
      </c>
      <c r="B223" s="43">
        <f t="shared" si="12"/>
        <v>2</v>
      </c>
      <c r="C223" s="76">
        <v>12000</v>
      </c>
      <c r="D223" s="77">
        <f t="shared" si="13"/>
        <v>24000</v>
      </c>
      <c r="E223" s="78">
        <f>Rubiel_Perez!H106</f>
        <v>2</v>
      </c>
    </row>
    <row r="224" spans="1:5" s="80" customFormat="1" ht="16.5" x14ac:dyDescent="0.3">
      <c r="A224" s="75" t="s">
        <v>382</v>
      </c>
      <c r="B224" s="43">
        <f t="shared" si="12"/>
        <v>2</v>
      </c>
      <c r="C224" s="76">
        <v>15000</v>
      </c>
      <c r="D224" s="77">
        <f t="shared" si="13"/>
        <v>30000</v>
      </c>
      <c r="E224" s="78">
        <f>Rubiel_Perez!H107</f>
        <v>2</v>
      </c>
    </row>
    <row r="225" spans="1:5" s="80" customFormat="1" ht="16.5" x14ac:dyDescent="0.3">
      <c r="A225" s="75" t="s">
        <v>273</v>
      </c>
      <c r="B225" s="43">
        <f t="shared" si="12"/>
        <v>1</v>
      </c>
      <c r="C225" s="76">
        <v>12000</v>
      </c>
      <c r="D225" s="77">
        <f t="shared" si="13"/>
        <v>12000</v>
      </c>
      <c r="E225" s="78">
        <f>Rubiel_Perez!H110</f>
        <v>1</v>
      </c>
    </row>
    <row r="226" spans="1:5" s="80" customFormat="1" ht="16.5" x14ac:dyDescent="0.3">
      <c r="A226" s="75" t="s">
        <v>274</v>
      </c>
      <c r="B226" s="43">
        <f t="shared" si="12"/>
        <v>1</v>
      </c>
      <c r="C226" s="76">
        <v>70000</v>
      </c>
      <c r="D226" s="77">
        <f t="shared" si="13"/>
        <v>70000</v>
      </c>
      <c r="E226" s="78">
        <f>Rubiel_Perez!H109</f>
        <v>1</v>
      </c>
    </row>
    <row r="227" spans="1:5" ht="16.5" x14ac:dyDescent="0.3">
      <c r="A227" s="42" t="s">
        <v>383</v>
      </c>
      <c r="B227" s="43">
        <f t="shared" si="12"/>
        <v>0</v>
      </c>
      <c r="C227" s="81">
        <v>80000</v>
      </c>
      <c r="D227" s="82">
        <f t="shared" si="13"/>
        <v>0</v>
      </c>
      <c r="E227" s="83"/>
    </row>
    <row r="228" spans="1:5" ht="16.5" x14ac:dyDescent="0.3">
      <c r="A228" s="42" t="s">
        <v>384</v>
      </c>
      <c r="B228" s="43">
        <f t="shared" si="12"/>
        <v>0</v>
      </c>
      <c r="C228" s="81">
        <v>30000</v>
      </c>
      <c r="D228" s="82">
        <f t="shared" si="13"/>
        <v>0</v>
      </c>
      <c r="E228" s="83"/>
    </row>
    <row r="229" spans="1:5" ht="16.5" x14ac:dyDescent="0.3">
      <c r="A229" s="42" t="s">
        <v>385</v>
      </c>
      <c r="B229" s="43">
        <f t="shared" si="12"/>
        <v>0</v>
      </c>
      <c r="C229" s="81">
        <v>800</v>
      </c>
      <c r="D229" s="82">
        <f t="shared" si="13"/>
        <v>0</v>
      </c>
      <c r="E229" s="83"/>
    </row>
    <row r="230" spans="1:5" ht="16.5" x14ac:dyDescent="0.3">
      <c r="A230" s="42" t="s">
        <v>275</v>
      </c>
      <c r="B230" s="43">
        <f t="shared" si="12"/>
        <v>0</v>
      </c>
      <c r="C230" s="44">
        <v>12000</v>
      </c>
      <c r="D230" s="45">
        <f t="shared" si="13"/>
        <v>0</v>
      </c>
      <c r="E230" s="46"/>
    </row>
    <row r="231" spans="1:5" ht="16.5" x14ac:dyDescent="0.3">
      <c r="A231" s="42" t="s">
        <v>276</v>
      </c>
      <c r="B231" s="43">
        <f t="shared" si="12"/>
        <v>0</v>
      </c>
      <c r="C231" s="44">
        <v>350000</v>
      </c>
      <c r="D231" s="45">
        <f t="shared" si="13"/>
        <v>0</v>
      </c>
      <c r="E231" s="46"/>
    </row>
    <row r="232" spans="1:5" ht="16.5" x14ac:dyDescent="0.3">
      <c r="A232" s="42" t="s">
        <v>277</v>
      </c>
      <c r="B232" s="43">
        <f t="shared" si="12"/>
        <v>0</v>
      </c>
      <c r="C232" s="44">
        <v>319800</v>
      </c>
      <c r="D232" s="45">
        <f t="shared" si="13"/>
        <v>0</v>
      </c>
      <c r="E232" s="46"/>
    </row>
    <row r="233" spans="1:5" ht="16.5" x14ac:dyDescent="0.3">
      <c r="A233" s="42" t="s">
        <v>278</v>
      </c>
      <c r="B233" s="43">
        <f t="shared" si="12"/>
        <v>0</v>
      </c>
      <c r="C233" s="44">
        <v>400000</v>
      </c>
      <c r="D233" s="45">
        <f t="shared" si="13"/>
        <v>0</v>
      </c>
      <c r="E233" s="46"/>
    </row>
    <row r="234" spans="1:5" ht="16.5" x14ac:dyDescent="0.3">
      <c r="A234" s="42" t="s">
        <v>279</v>
      </c>
      <c r="B234" s="43">
        <f t="shared" si="12"/>
        <v>0</v>
      </c>
      <c r="C234" s="44">
        <v>350000</v>
      </c>
      <c r="D234" s="45">
        <f t="shared" si="13"/>
        <v>0</v>
      </c>
      <c r="E234" s="46"/>
    </row>
    <row r="235" spans="1:5" ht="16.5" x14ac:dyDescent="0.3">
      <c r="A235" s="42" t="s">
        <v>280</v>
      </c>
      <c r="B235" s="43">
        <f t="shared" si="12"/>
        <v>0</v>
      </c>
      <c r="C235" s="44">
        <v>450000</v>
      </c>
      <c r="D235" s="45">
        <f t="shared" si="13"/>
        <v>0</v>
      </c>
      <c r="E235" s="46"/>
    </row>
    <row r="236" spans="1:5" ht="16.5" x14ac:dyDescent="0.3">
      <c r="A236" s="42" t="s">
        <v>281</v>
      </c>
      <c r="B236" s="43">
        <f t="shared" si="12"/>
        <v>0</v>
      </c>
      <c r="C236" s="44">
        <v>480000</v>
      </c>
      <c r="D236" s="45">
        <f t="shared" si="13"/>
        <v>0</v>
      </c>
      <c r="E236" s="46"/>
    </row>
    <row r="237" spans="1:5" s="80" customFormat="1" ht="16.5" x14ac:dyDescent="0.3">
      <c r="A237" s="75" t="s">
        <v>81</v>
      </c>
      <c r="B237" s="43">
        <f t="shared" si="12"/>
        <v>1</v>
      </c>
      <c r="C237" s="76">
        <v>800000</v>
      </c>
      <c r="D237" s="77">
        <f t="shared" si="13"/>
        <v>800000</v>
      </c>
      <c r="E237" s="78">
        <f>Rubiel_Perez!H29</f>
        <v>1</v>
      </c>
    </row>
    <row r="238" spans="1:5" ht="16.5" x14ac:dyDescent="0.3">
      <c r="A238" s="42" t="s">
        <v>282</v>
      </c>
      <c r="B238" s="43">
        <f t="shared" si="12"/>
        <v>0</v>
      </c>
      <c r="C238" s="44">
        <v>3000</v>
      </c>
      <c r="D238" s="45">
        <f t="shared" si="13"/>
        <v>0</v>
      </c>
      <c r="E238" s="46"/>
    </row>
    <row r="239" spans="1:5" ht="16.5" x14ac:dyDescent="0.3">
      <c r="A239" s="42" t="s">
        <v>283</v>
      </c>
      <c r="B239" s="43">
        <f t="shared" si="12"/>
        <v>5</v>
      </c>
      <c r="C239" s="44">
        <v>3000</v>
      </c>
      <c r="D239" s="45">
        <f t="shared" si="13"/>
        <v>15000</v>
      </c>
      <c r="E239" s="46">
        <f>Rubiel_Perez!H47</f>
        <v>5</v>
      </c>
    </row>
    <row r="240" spans="1:5" ht="16.5" x14ac:dyDescent="0.3">
      <c r="A240" s="42" t="s">
        <v>386</v>
      </c>
      <c r="B240" s="43">
        <f t="shared" si="12"/>
        <v>0</v>
      </c>
      <c r="C240" s="44">
        <v>1333</v>
      </c>
      <c r="D240" s="45">
        <f t="shared" si="13"/>
        <v>0</v>
      </c>
      <c r="E240" s="87"/>
    </row>
    <row r="241" spans="1:5" s="80" customFormat="1" ht="16.5" x14ac:dyDescent="0.3">
      <c r="A241" s="75" t="s">
        <v>284</v>
      </c>
      <c r="B241" s="43">
        <f t="shared" si="12"/>
        <v>1</v>
      </c>
      <c r="C241" s="76">
        <v>5000</v>
      </c>
      <c r="D241" s="77">
        <f t="shared" si="13"/>
        <v>5000</v>
      </c>
      <c r="E241" s="78">
        <f>Rubiel_Perez!H32</f>
        <v>1</v>
      </c>
    </row>
    <row r="242" spans="1:5" ht="16.5" x14ac:dyDescent="0.3">
      <c r="A242" s="42" t="s">
        <v>285</v>
      </c>
      <c r="B242" s="43">
        <f t="shared" si="12"/>
        <v>0</v>
      </c>
      <c r="C242" s="44">
        <v>5000</v>
      </c>
      <c r="D242" s="45">
        <f t="shared" si="13"/>
        <v>0</v>
      </c>
      <c r="E242" s="46"/>
    </row>
    <row r="243" spans="1:5" ht="16.5" x14ac:dyDescent="0.3">
      <c r="A243" s="42" t="s">
        <v>286</v>
      </c>
      <c r="B243" s="43">
        <f t="shared" si="12"/>
        <v>0</v>
      </c>
      <c r="C243" s="44">
        <v>2000</v>
      </c>
      <c r="D243" s="45">
        <f t="shared" si="13"/>
        <v>0</v>
      </c>
      <c r="E243" s="46"/>
    </row>
    <row r="244" spans="1:5" ht="16.5" x14ac:dyDescent="0.3">
      <c r="A244" s="42" t="s">
        <v>287</v>
      </c>
      <c r="B244" s="43">
        <f t="shared" si="12"/>
        <v>0</v>
      </c>
      <c r="C244" s="44">
        <v>2000</v>
      </c>
      <c r="D244" s="45">
        <f t="shared" si="13"/>
        <v>0</v>
      </c>
      <c r="E244" s="46"/>
    </row>
    <row r="245" spans="1:5" ht="16.5" x14ac:dyDescent="0.3">
      <c r="A245" s="42" t="s">
        <v>288</v>
      </c>
      <c r="B245" s="43">
        <f t="shared" si="12"/>
        <v>3</v>
      </c>
      <c r="C245" s="44">
        <v>2000</v>
      </c>
      <c r="D245" s="45">
        <f t="shared" si="13"/>
        <v>6000</v>
      </c>
      <c r="E245" s="46">
        <f>Rubiel_Perez!H42</f>
        <v>3</v>
      </c>
    </row>
    <row r="246" spans="1:5" ht="16.5" x14ac:dyDescent="0.3">
      <c r="A246" s="42" t="s">
        <v>289</v>
      </c>
      <c r="B246" s="43">
        <f t="shared" si="12"/>
        <v>0</v>
      </c>
      <c r="C246" s="44">
        <v>29000</v>
      </c>
      <c r="D246" s="45">
        <f t="shared" si="13"/>
        <v>0</v>
      </c>
      <c r="E246" s="46"/>
    </row>
    <row r="247" spans="1:5" ht="16.5" x14ac:dyDescent="0.3">
      <c r="A247" s="42" t="s">
        <v>290</v>
      </c>
      <c r="B247" s="43">
        <f t="shared" si="12"/>
        <v>0</v>
      </c>
      <c r="C247" s="44">
        <v>27000</v>
      </c>
      <c r="D247" s="45">
        <f t="shared" si="13"/>
        <v>0</v>
      </c>
      <c r="E247" s="46"/>
    </row>
    <row r="248" spans="1:5" ht="16.5" x14ac:dyDescent="0.3">
      <c r="A248" s="42" t="s">
        <v>291</v>
      </c>
      <c r="B248" s="43">
        <f t="shared" si="12"/>
        <v>0</v>
      </c>
      <c r="C248" s="44">
        <v>42000</v>
      </c>
      <c r="D248" s="45">
        <f t="shared" si="13"/>
        <v>0</v>
      </c>
      <c r="E248" s="46"/>
    </row>
    <row r="249" spans="1:5" ht="16.5" x14ac:dyDescent="0.3">
      <c r="A249" s="42" t="s">
        <v>292</v>
      </c>
      <c r="B249" s="43">
        <f t="shared" si="12"/>
        <v>0</v>
      </c>
      <c r="C249" s="44">
        <v>50000</v>
      </c>
      <c r="D249" s="45">
        <f t="shared" si="13"/>
        <v>0</v>
      </c>
      <c r="E249" s="46"/>
    </row>
    <row r="250" spans="1:5" ht="16.5" x14ac:dyDescent="0.3">
      <c r="A250" s="42" t="s">
        <v>387</v>
      </c>
      <c r="B250" s="43">
        <f t="shared" si="12"/>
        <v>0</v>
      </c>
      <c r="C250" s="44">
        <v>12000</v>
      </c>
      <c r="D250" s="45">
        <f t="shared" si="13"/>
        <v>0</v>
      </c>
      <c r="E250" s="46"/>
    </row>
    <row r="251" spans="1:5" ht="16.5" x14ac:dyDescent="0.3">
      <c r="A251" s="42" t="s">
        <v>388</v>
      </c>
      <c r="B251" s="43">
        <f t="shared" si="12"/>
        <v>0</v>
      </c>
      <c r="C251" s="44">
        <v>8000</v>
      </c>
      <c r="D251" s="45">
        <f t="shared" si="13"/>
        <v>0</v>
      </c>
      <c r="E251" s="46"/>
    </row>
    <row r="252" spans="1:5" ht="16.5" x14ac:dyDescent="0.3">
      <c r="A252" s="42" t="s">
        <v>293</v>
      </c>
      <c r="B252" s="43">
        <f t="shared" si="12"/>
        <v>70</v>
      </c>
      <c r="C252" s="44">
        <v>5000</v>
      </c>
      <c r="D252" s="45">
        <f t="shared" si="13"/>
        <v>350000</v>
      </c>
      <c r="E252" s="46">
        <f>Rubiel_Perez!H13</f>
        <v>70</v>
      </c>
    </row>
    <row r="253" spans="1:5" s="80" customFormat="1" ht="16.5" x14ac:dyDescent="0.3">
      <c r="A253" s="75" t="s">
        <v>294</v>
      </c>
      <c r="B253" s="43">
        <f t="shared" si="12"/>
        <v>1</v>
      </c>
      <c r="C253" s="76">
        <v>35000</v>
      </c>
      <c r="D253" s="77">
        <f t="shared" si="13"/>
        <v>35000</v>
      </c>
      <c r="E253" s="78">
        <f>Rubiel_Perez!H116</f>
        <v>1</v>
      </c>
    </row>
    <row r="254" spans="1:5" ht="16.5" x14ac:dyDescent="0.3">
      <c r="A254" s="42" t="s">
        <v>389</v>
      </c>
      <c r="B254" s="43">
        <f t="shared" si="12"/>
        <v>0</v>
      </c>
      <c r="C254" s="81">
        <v>80</v>
      </c>
      <c r="D254" s="82">
        <f t="shared" si="13"/>
        <v>0</v>
      </c>
      <c r="E254" s="83"/>
    </row>
    <row r="255" spans="1:5" ht="16.5" x14ac:dyDescent="0.3">
      <c r="A255" s="42" t="s">
        <v>390</v>
      </c>
      <c r="B255" s="43">
        <f t="shared" si="12"/>
        <v>0</v>
      </c>
      <c r="C255" s="81">
        <v>200</v>
      </c>
      <c r="D255" s="82">
        <f t="shared" si="13"/>
        <v>0</v>
      </c>
      <c r="E255" s="83"/>
    </row>
    <row r="256" spans="1:5" ht="16.5" x14ac:dyDescent="0.3">
      <c r="A256" s="42" t="s">
        <v>391</v>
      </c>
      <c r="B256" s="43">
        <f t="shared" si="12"/>
        <v>0</v>
      </c>
      <c r="C256" s="81">
        <v>300</v>
      </c>
      <c r="D256" s="82"/>
      <c r="E256" s="83"/>
    </row>
    <row r="257" spans="1:5" ht="16.5" x14ac:dyDescent="0.3">
      <c r="A257" s="42" t="s">
        <v>392</v>
      </c>
      <c r="B257" s="43">
        <f t="shared" si="12"/>
        <v>0</v>
      </c>
      <c r="C257" s="81">
        <v>12000</v>
      </c>
      <c r="D257" s="82">
        <f t="shared" si="13"/>
        <v>0</v>
      </c>
      <c r="E257" s="83"/>
    </row>
    <row r="258" spans="1:5" s="80" customFormat="1" ht="16.5" x14ac:dyDescent="0.3">
      <c r="A258" s="75" t="s">
        <v>295</v>
      </c>
      <c r="B258" s="43">
        <f t="shared" si="12"/>
        <v>1</v>
      </c>
      <c r="C258" s="76">
        <v>35000</v>
      </c>
      <c r="D258" s="77">
        <f t="shared" si="13"/>
        <v>35000</v>
      </c>
      <c r="E258" s="78">
        <f>Rubiel_Perez!H30</f>
        <v>1</v>
      </c>
    </row>
    <row r="259" spans="1:5" ht="16.5" x14ac:dyDescent="0.3">
      <c r="A259" s="42" t="s">
        <v>296</v>
      </c>
      <c r="B259" s="43">
        <f t="shared" si="12"/>
        <v>0</v>
      </c>
      <c r="C259" s="44">
        <v>20000</v>
      </c>
      <c r="D259" s="45">
        <f t="shared" si="13"/>
        <v>0</v>
      </c>
      <c r="E259" s="46"/>
    </row>
    <row r="260" spans="1:5" s="80" customFormat="1" ht="16.5" x14ac:dyDescent="0.3">
      <c r="A260" s="75" t="s">
        <v>297</v>
      </c>
      <c r="B260" s="43">
        <f t="shared" si="12"/>
        <v>2</v>
      </c>
      <c r="C260" s="76">
        <v>45000</v>
      </c>
      <c r="D260" s="77">
        <f t="shared" si="13"/>
        <v>90000</v>
      </c>
      <c r="E260" s="78">
        <f>Rubiel_Perez!H31</f>
        <v>2</v>
      </c>
    </row>
    <row r="261" spans="1:5" ht="16.5" x14ac:dyDescent="0.3">
      <c r="A261" s="42" t="s">
        <v>393</v>
      </c>
      <c r="B261" s="43">
        <f t="shared" ref="B261:B291" si="14">SUM(E261:E261)</f>
        <v>0</v>
      </c>
      <c r="C261" s="81">
        <v>114000</v>
      </c>
      <c r="D261" s="45">
        <f t="shared" si="13"/>
        <v>0</v>
      </c>
      <c r="E261" s="83"/>
    </row>
    <row r="262" spans="1:5" ht="16.5" x14ac:dyDescent="0.3">
      <c r="A262" s="42" t="s">
        <v>394</v>
      </c>
      <c r="B262" s="43">
        <f t="shared" si="14"/>
        <v>2</v>
      </c>
      <c r="C262" s="44">
        <v>50000</v>
      </c>
      <c r="D262" s="45">
        <f t="shared" si="13"/>
        <v>100000</v>
      </c>
      <c r="E262" s="46">
        <f>Rubiel_Perez!H118</f>
        <v>2</v>
      </c>
    </row>
    <row r="263" spans="1:5" ht="16.5" x14ac:dyDescent="0.3">
      <c r="A263" s="42" t="s">
        <v>298</v>
      </c>
      <c r="B263" s="43">
        <f t="shared" si="14"/>
        <v>0</v>
      </c>
      <c r="C263" s="44">
        <v>4000</v>
      </c>
      <c r="D263" s="45">
        <f t="shared" ref="D263:D284" si="15">B263*C263</f>
        <v>0</v>
      </c>
      <c r="E263" s="46"/>
    </row>
    <row r="264" spans="1:5" ht="16.5" x14ac:dyDescent="0.3">
      <c r="A264" s="42" t="s">
        <v>299</v>
      </c>
      <c r="B264" s="43">
        <f t="shared" si="14"/>
        <v>0</v>
      </c>
      <c r="C264" s="44">
        <v>2000</v>
      </c>
      <c r="D264" s="45">
        <f t="shared" si="15"/>
        <v>0</v>
      </c>
      <c r="E264" s="87"/>
    </row>
    <row r="265" spans="1:5" ht="16.5" x14ac:dyDescent="0.3">
      <c r="A265" s="42" t="s">
        <v>300</v>
      </c>
      <c r="B265" s="43">
        <f t="shared" si="14"/>
        <v>0</v>
      </c>
      <c r="C265" s="44">
        <v>3600</v>
      </c>
      <c r="D265" s="45">
        <f t="shared" si="15"/>
        <v>0</v>
      </c>
      <c r="E265" s="46"/>
    </row>
    <row r="266" spans="1:5" ht="16.5" x14ac:dyDescent="0.3">
      <c r="A266" s="42" t="s">
        <v>301</v>
      </c>
      <c r="B266" s="43">
        <f t="shared" si="14"/>
        <v>0</v>
      </c>
      <c r="C266" s="44">
        <v>3600</v>
      </c>
      <c r="D266" s="45">
        <f t="shared" si="15"/>
        <v>0</v>
      </c>
      <c r="E266" s="46"/>
    </row>
    <row r="267" spans="1:5" ht="16.5" x14ac:dyDescent="0.3">
      <c r="A267" s="42" t="s">
        <v>302</v>
      </c>
      <c r="B267" s="43">
        <f t="shared" si="14"/>
        <v>5</v>
      </c>
      <c r="C267" s="44">
        <v>3600</v>
      </c>
      <c r="D267" s="45">
        <f t="shared" si="15"/>
        <v>18000</v>
      </c>
      <c r="E267" s="46">
        <f>Rubiel_Perez!H50</f>
        <v>5</v>
      </c>
    </row>
    <row r="268" spans="1:5" ht="16.5" x14ac:dyDescent="0.3">
      <c r="A268" s="42" t="s">
        <v>303</v>
      </c>
      <c r="B268" s="43">
        <f t="shared" si="14"/>
        <v>1</v>
      </c>
      <c r="C268" s="44">
        <v>3600</v>
      </c>
      <c r="D268" s="45">
        <f t="shared" si="15"/>
        <v>3600</v>
      </c>
      <c r="E268" s="46">
        <f>Rubiel_Perez!H51</f>
        <v>1</v>
      </c>
    </row>
    <row r="269" spans="1:5" ht="16.5" x14ac:dyDescent="0.3">
      <c r="A269" s="42" t="s">
        <v>304</v>
      </c>
      <c r="B269" s="43">
        <f t="shared" si="14"/>
        <v>0</v>
      </c>
      <c r="C269" s="44">
        <v>3900</v>
      </c>
      <c r="D269" s="45">
        <f t="shared" si="15"/>
        <v>0</v>
      </c>
      <c r="E269" s="46"/>
    </row>
    <row r="270" spans="1:5" ht="16.5" x14ac:dyDescent="0.3">
      <c r="A270" s="42" t="s">
        <v>305</v>
      </c>
      <c r="B270" s="43">
        <f t="shared" si="14"/>
        <v>0</v>
      </c>
      <c r="C270" s="44">
        <v>1800</v>
      </c>
      <c r="D270" s="45">
        <f t="shared" si="15"/>
        <v>0</v>
      </c>
      <c r="E270" s="46"/>
    </row>
    <row r="271" spans="1:5" s="80" customFormat="1" ht="16.5" x14ac:dyDescent="0.3">
      <c r="A271" s="75" t="s">
        <v>306</v>
      </c>
      <c r="B271" s="43">
        <f t="shared" si="14"/>
        <v>3</v>
      </c>
      <c r="C271" s="76">
        <v>5900</v>
      </c>
      <c r="D271" s="77">
        <f t="shared" si="15"/>
        <v>17700</v>
      </c>
      <c r="E271" s="78">
        <f>Rubiel_Perez!H44</f>
        <v>3</v>
      </c>
    </row>
    <row r="272" spans="1:5" ht="16.5" x14ac:dyDescent="0.3">
      <c r="A272" s="42" t="s">
        <v>307</v>
      </c>
      <c r="B272" s="43">
        <f t="shared" si="14"/>
        <v>0</v>
      </c>
      <c r="C272" s="44">
        <v>700</v>
      </c>
      <c r="D272" s="45">
        <f t="shared" si="15"/>
        <v>0</v>
      </c>
      <c r="E272" s="46"/>
    </row>
    <row r="273" spans="1:5" ht="16.5" x14ac:dyDescent="0.3">
      <c r="A273" s="42" t="s">
        <v>395</v>
      </c>
      <c r="B273" s="43">
        <f t="shared" si="14"/>
        <v>0</v>
      </c>
      <c r="C273" s="44">
        <v>5000</v>
      </c>
      <c r="D273" s="45">
        <f t="shared" si="15"/>
        <v>0</v>
      </c>
      <c r="E273" s="46"/>
    </row>
    <row r="274" spans="1:5" s="80" customFormat="1" ht="16.5" x14ac:dyDescent="0.3">
      <c r="A274" s="75" t="s">
        <v>396</v>
      </c>
      <c r="B274" s="43">
        <f t="shared" si="14"/>
        <v>1</v>
      </c>
      <c r="C274" s="76">
        <v>11000</v>
      </c>
      <c r="D274" s="77">
        <f t="shared" si="15"/>
        <v>11000</v>
      </c>
      <c r="E274" s="78">
        <f>Rubiel_Perez!H35</f>
        <v>1</v>
      </c>
    </row>
    <row r="275" spans="1:5" s="80" customFormat="1" ht="16.5" x14ac:dyDescent="0.3">
      <c r="A275" s="75" t="s">
        <v>397</v>
      </c>
      <c r="B275" s="43">
        <f t="shared" si="14"/>
        <v>2</v>
      </c>
      <c r="C275" s="76">
        <v>15000</v>
      </c>
      <c r="D275" s="77">
        <f t="shared" si="15"/>
        <v>30000</v>
      </c>
      <c r="E275" s="78">
        <f>Rubiel_Perez!H36</f>
        <v>2</v>
      </c>
    </row>
    <row r="276" spans="1:5" ht="16.5" x14ac:dyDescent="0.3">
      <c r="A276" s="42" t="s">
        <v>308</v>
      </c>
      <c r="B276" s="43">
        <f t="shared" si="14"/>
        <v>2</v>
      </c>
      <c r="C276" s="44">
        <v>35000</v>
      </c>
      <c r="D276" s="45">
        <f t="shared" si="15"/>
        <v>70000</v>
      </c>
      <c r="E276" s="46">
        <f>Rubiel_Perez!H52</f>
        <v>2</v>
      </c>
    </row>
    <row r="277" spans="1:5" ht="16.5" x14ac:dyDescent="0.3">
      <c r="A277" s="42" t="s">
        <v>309</v>
      </c>
      <c r="B277" s="43">
        <f t="shared" si="14"/>
        <v>0</v>
      </c>
      <c r="C277" s="44">
        <v>35000</v>
      </c>
      <c r="D277" s="45">
        <f t="shared" si="15"/>
        <v>0</v>
      </c>
      <c r="E277" s="46"/>
    </row>
    <row r="278" spans="1:5" ht="16.5" x14ac:dyDescent="0.3">
      <c r="A278" s="42" t="s">
        <v>398</v>
      </c>
      <c r="B278" s="43">
        <f t="shared" si="14"/>
        <v>0</v>
      </c>
      <c r="C278" s="44">
        <v>3000</v>
      </c>
      <c r="D278" s="45">
        <f t="shared" si="15"/>
        <v>0</v>
      </c>
      <c r="E278" s="46"/>
    </row>
    <row r="279" spans="1:5" ht="16.5" x14ac:dyDescent="0.3">
      <c r="A279" s="42" t="s">
        <v>399</v>
      </c>
      <c r="B279" s="43">
        <f t="shared" si="14"/>
        <v>0</v>
      </c>
      <c r="C279" s="44">
        <v>6400</v>
      </c>
      <c r="D279" s="45">
        <f t="shared" si="15"/>
        <v>0</v>
      </c>
      <c r="E279" s="46"/>
    </row>
    <row r="280" spans="1:5" ht="16.5" x14ac:dyDescent="0.3">
      <c r="A280" s="42" t="s">
        <v>310</v>
      </c>
      <c r="B280" s="43">
        <f t="shared" si="14"/>
        <v>0</v>
      </c>
      <c r="C280" s="44">
        <v>24000</v>
      </c>
      <c r="D280" s="45">
        <f t="shared" si="15"/>
        <v>0</v>
      </c>
      <c r="E280" s="46"/>
    </row>
    <row r="281" spans="1:5" ht="16.5" x14ac:dyDescent="0.3">
      <c r="A281" s="56" t="s">
        <v>311</v>
      </c>
      <c r="B281" s="43">
        <f t="shared" si="14"/>
        <v>0</v>
      </c>
      <c r="C281" s="44">
        <v>250</v>
      </c>
      <c r="D281" s="45">
        <f t="shared" si="15"/>
        <v>0</v>
      </c>
      <c r="E281" s="46"/>
    </row>
    <row r="282" spans="1:5" ht="16.5" x14ac:dyDescent="0.3">
      <c r="A282" s="56" t="s">
        <v>312</v>
      </c>
      <c r="B282" s="43">
        <f t="shared" si="14"/>
        <v>30</v>
      </c>
      <c r="C282" s="44">
        <v>250</v>
      </c>
      <c r="D282" s="45">
        <f t="shared" si="15"/>
        <v>7500</v>
      </c>
      <c r="E282" s="46">
        <f>Rubiel_Perez!H129</f>
        <v>30</v>
      </c>
    </row>
    <row r="283" spans="1:5" ht="16.5" x14ac:dyDescent="0.3">
      <c r="A283" s="56" t="s">
        <v>313</v>
      </c>
      <c r="B283" s="43">
        <f t="shared" si="14"/>
        <v>30</v>
      </c>
      <c r="C283" s="44">
        <v>250</v>
      </c>
      <c r="D283" s="45">
        <f t="shared" si="15"/>
        <v>7500</v>
      </c>
      <c r="E283" s="46">
        <f>Rubiel_Perez!H130</f>
        <v>30</v>
      </c>
    </row>
    <row r="284" spans="1:5" ht="16.5" x14ac:dyDescent="0.3">
      <c r="A284" s="56" t="s">
        <v>314</v>
      </c>
      <c r="B284" s="43">
        <f t="shared" si="14"/>
        <v>0</v>
      </c>
      <c r="C284" s="44">
        <v>250</v>
      </c>
      <c r="D284" s="45">
        <f t="shared" si="15"/>
        <v>0</v>
      </c>
      <c r="E284" s="46"/>
    </row>
    <row r="285" spans="1:5" ht="16.5" x14ac:dyDescent="0.3">
      <c r="A285" s="56" t="s">
        <v>315</v>
      </c>
      <c r="B285" s="43">
        <f t="shared" si="14"/>
        <v>0</v>
      </c>
      <c r="C285" s="44">
        <v>5000</v>
      </c>
      <c r="D285" s="45">
        <f>B285*C285</f>
        <v>0</v>
      </c>
      <c r="E285" s="46"/>
    </row>
    <row r="286" spans="1:5" ht="16.5" x14ac:dyDescent="0.3">
      <c r="A286" s="56" t="s">
        <v>316</v>
      </c>
      <c r="B286" s="43">
        <f t="shared" si="14"/>
        <v>5</v>
      </c>
      <c r="C286" s="44">
        <v>4500</v>
      </c>
      <c r="D286" s="45">
        <f>B286*C286</f>
        <v>22500</v>
      </c>
      <c r="E286" s="46">
        <f>Rubiel_Perez!H128</f>
        <v>5</v>
      </c>
    </row>
    <row r="287" spans="1:5" ht="16.5" x14ac:dyDescent="0.3">
      <c r="A287" s="56" t="s">
        <v>317</v>
      </c>
      <c r="B287" s="43">
        <f t="shared" si="14"/>
        <v>0</v>
      </c>
      <c r="C287" s="44">
        <v>30500</v>
      </c>
      <c r="D287" s="45">
        <f>B287*C287</f>
        <v>0</v>
      </c>
      <c r="E287" s="46"/>
    </row>
    <row r="288" spans="1:5" ht="16.5" x14ac:dyDescent="0.3">
      <c r="A288" s="56" t="s">
        <v>318</v>
      </c>
      <c r="B288" s="43">
        <f t="shared" si="14"/>
        <v>0</v>
      </c>
      <c r="C288" s="44">
        <v>66500</v>
      </c>
      <c r="D288" s="45">
        <f>B288*C288</f>
        <v>0</v>
      </c>
      <c r="E288" s="46"/>
    </row>
    <row r="289" spans="1:5" ht="16.5" x14ac:dyDescent="0.3">
      <c r="A289" s="56" t="s">
        <v>319</v>
      </c>
      <c r="B289" s="43">
        <f t="shared" si="14"/>
        <v>0</v>
      </c>
      <c r="C289" s="44">
        <v>7900</v>
      </c>
      <c r="D289" s="45">
        <f t="shared" ref="D289:D291" si="16">B289*C289</f>
        <v>0</v>
      </c>
      <c r="E289" s="46"/>
    </row>
    <row r="290" spans="1:5" ht="16.5" x14ac:dyDescent="0.3">
      <c r="A290" s="42" t="s">
        <v>320</v>
      </c>
      <c r="B290" s="43">
        <f t="shared" si="14"/>
        <v>0</v>
      </c>
      <c r="C290" s="44">
        <v>22000</v>
      </c>
      <c r="D290" s="45">
        <f t="shared" si="16"/>
        <v>0</v>
      </c>
      <c r="E290" s="46"/>
    </row>
    <row r="291" spans="1:5" ht="16.5" x14ac:dyDescent="0.3">
      <c r="A291" s="42" t="s">
        <v>321</v>
      </c>
      <c r="B291" s="43">
        <f t="shared" si="14"/>
        <v>0</v>
      </c>
      <c r="C291" s="44">
        <v>70000</v>
      </c>
      <c r="D291" s="45">
        <f t="shared" si="16"/>
        <v>0</v>
      </c>
      <c r="E291" s="46"/>
    </row>
    <row r="292" spans="1:5" ht="16.5" x14ac:dyDescent="0.3">
      <c r="A292" s="40" t="s">
        <v>322</v>
      </c>
      <c r="B292" s="64">
        <f>SUM(B5:B291)</f>
        <v>421</v>
      </c>
      <c r="C292" s="64">
        <f>SUM(C5:C291)</f>
        <v>48137867</v>
      </c>
      <c r="D292" s="64">
        <f>SUM(D5:D291)</f>
        <v>14544500</v>
      </c>
      <c r="E292" s="88">
        <f>SUM(E5:E291)</f>
        <v>421</v>
      </c>
    </row>
    <row r="294" spans="1:5" x14ac:dyDescent="0.25">
      <c r="D294" s="66"/>
    </row>
    <row r="295" spans="1:5" x14ac:dyDescent="0.25">
      <c r="D295" s="66"/>
    </row>
  </sheetData>
  <autoFilter ref="A4:E292" xr:uid="{FD264869-7F5D-4726-A4C0-C15C6BE71DD3}">
    <sortState xmlns:xlrd2="http://schemas.microsoft.com/office/spreadsheetml/2017/richdata2" ref="A85:E179">
      <sortCondition descending="1" ref="A4:A29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6D3C-B26A-45DF-B231-22D0AC08EF7F}">
  <sheetPr>
    <tabColor rgb="FF00B050"/>
  </sheetPr>
  <dimension ref="A1:L139"/>
  <sheetViews>
    <sheetView tabSelected="1" topLeftCell="B126" workbookViewId="0">
      <selection activeCell="L139" sqref="L139"/>
    </sheetView>
  </sheetViews>
  <sheetFormatPr baseColWidth="10" defaultColWidth="10.5703125" defaultRowHeight="15" x14ac:dyDescent="0.25"/>
  <cols>
    <col min="2" max="2" width="20.28515625" customWidth="1"/>
    <col min="3" max="3" width="24.85546875" customWidth="1"/>
    <col min="5" max="5" width="13.140625" customWidth="1"/>
    <col min="6" max="6" width="14.28515625" customWidth="1"/>
    <col min="7" max="7" width="42.7109375" bestFit="1" customWidth="1"/>
    <col min="9" max="9" width="12" customWidth="1"/>
    <col min="10" max="10" width="16.5703125" customWidth="1"/>
  </cols>
  <sheetData>
    <row r="1" spans="2:12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2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2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2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2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2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  <c r="K6" s="80" t="s">
        <v>453</v>
      </c>
    </row>
    <row r="7" spans="2:12" ht="15.75" thickBot="1" x14ac:dyDescent="0.3">
      <c r="B7" s="127" t="s">
        <v>93</v>
      </c>
      <c r="C7" s="127"/>
      <c r="D7" s="127"/>
      <c r="E7" s="127"/>
      <c r="F7" s="127"/>
      <c r="G7" s="127"/>
      <c r="H7" s="127"/>
      <c r="I7" s="127"/>
      <c r="J7" s="127"/>
    </row>
    <row r="8" spans="2:12" ht="31.5" customHeight="1" x14ac:dyDescent="0.25">
      <c r="B8" s="121" t="s">
        <v>92</v>
      </c>
      <c r="C8" s="121"/>
      <c r="D8" s="121"/>
      <c r="E8" s="121"/>
      <c r="F8" s="121"/>
      <c r="G8" s="121"/>
      <c r="H8" s="121"/>
      <c r="I8" s="121"/>
      <c r="J8" s="121"/>
    </row>
    <row r="9" spans="2:12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2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</row>
    <row r="11" spans="2:12" ht="30" x14ac:dyDescent="0.25">
      <c r="B11" s="124"/>
      <c r="C11" s="5" t="s">
        <v>75</v>
      </c>
      <c r="D11" s="26">
        <v>200</v>
      </c>
      <c r="E11" s="7">
        <v>25000</v>
      </c>
      <c r="F11" s="8">
        <f>D11*E11</f>
        <v>5000000</v>
      </c>
      <c r="G11" s="9" t="s">
        <v>7</v>
      </c>
      <c r="H11" s="69">
        <v>10</v>
      </c>
      <c r="I11" s="32">
        <v>270000</v>
      </c>
      <c r="J11" s="10">
        <f t="shared" ref="J11:J22" si="0">H11*I11</f>
        <v>2700000</v>
      </c>
      <c r="K11" s="33"/>
    </row>
    <row r="12" spans="2:12" x14ac:dyDescent="0.25">
      <c r="B12" s="124"/>
      <c r="C12" s="11"/>
      <c r="D12" s="25"/>
      <c r="E12" s="13"/>
      <c r="F12" s="8"/>
      <c r="G12" s="9" t="s">
        <v>9</v>
      </c>
      <c r="H12" s="69">
        <v>4</v>
      </c>
      <c r="I12" s="27">
        <v>35000</v>
      </c>
      <c r="J12" s="15">
        <f t="shared" si="0"/>
        <v>140000</v>
      </c>
    </row>
    <row r="13" spans="2:12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69">
        <v>70</v>
      </c>
      <c r="I13" s="27">
        <v>5000</v>
      </c>
      <c r="J13" s="15">
        <f t="shared" si="0"/>
        <v>350000</v>
      </c>
    </row>
    <row r="14" spans="2:12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69">
        <v>2</v>
      </c>
      <c r="I14" s="27">
        <v>60000</v>
      </c>
      <c r="J14" s="15">
        <f t="shared" si="0"/>
        <v>120000</v>
      </c>
    </row>
    <row r="15" spans="2:12" x14ac:dyDescent="0.25">
      <c r="B15" s="124"/>
      <c r="C15" s="5"/>
      <c r="D15" s="6"/>
      <c r="E15" s="7"/>
      <c r="F15" s="8"/>
      <c r="G15" s="16" t="s">
        <v>65</v>
      </c>
      <c r="H15" s="69">
        <v>5</v>
      </c>
      <c r="I15" s="27">
        <v>38000</v>
      </c>
      <c r="J15" s="15">
        <f t="shared" si="0"/>
        <v>190000</v>
      </c>
      <c r="L15">
        <v>151</v>
      </c>
    </row>
    <row r="16" spans="2:12" x14ac:dyDescent="0.25">
      <c r="B16" s="124"/>
      <c r="C16" s="5"/>
      <c r="D16" s="6"/>
      <c r="E16" s="7"/>
      <c r="F16" s="8"/>
      <c r="G16" s="17" t="s">
        <v>66</v>
      </c>
      <c r="H16" s="69">
        <v>5</v>
      </c>
      <c r="I16" s="28">
        <v>6000</v>
      </c>
      <c r="J16" s="15">
        <f t="shared" si="0"/>
        <v>30000</v>
      </c>
    </row>
    <row r="17" spans="2:10" ht="15.75" x14ac:dyDescent="0.25">
      <c r="B17" s="124"/>
      <c r="C17" s="5"/>
      <c r="D17" s="6"/>
      <c r="E17" s="7"/>
      <c r="F17" s="8"/>
      <c r="G17" s="68" t="s">
        <v>126</v>
      </c>
      <c r="H17" s="67">
        <v>1</v>
      </c>
      <c r="I17" s="28">
        <v>1000000</v>
      </c>
      <c r="J17" s="15">
        <f t="shared" si="0"/>
        <v>1000000</v>
      </c>
    </row>
    <row r="18" spans="2:10" ht="15.75" x14ac:dyDescent="0.25">
      <c r="B18" s="124"/>
      <c r="C18" s="5"/>
      <c r="D18" s="6"/>
      <c r="E18" s="7"/>
      <c r="F18" s="8"/>
      <c r="G18" s="68" t="s">
        <v>189</v>
      </c>
      <c r="H18" s="67">
        <v>1</v>
      </c>
      <c r="I18" s="28">
        <v>380000</v>
      </c>
      <c r="J18" s="15">
        <f t="shared" si="0"/>
        <v>380000</v>
      </c>
    </row>
    <row r="19" spans="2:10" ht="15.75" x14ac:dyDescent="0.25">
      <c r="B19" s="124"/>
      <c r="C19" s="5"/>
      <c r="D19" s="6"/>
      <c r="E19" s="7"/>
      <c r="F19" s="8"/>
      <c r="G19" s="68" t="s">
        <v>161</v>
      </c>
      <c r="H19" s="67">
        <v>1</v>
      </c>
      <c r="I19" s="28">
        <v>30000</v>
      </c>
      <c r="J19" s="15">
        <f t="shared" si="0"/>
        <v>30000</v>
      </c>
    </row>
    <row r="20" spans="2:10" ht="15.75" x14ac:dyDescent="0.25">
      <c r="B20" s="124"/>
      <c r="C20" s="5"/>
      <c r="D20" s="6"/>
      <c r="E20" s="7"/>
      <c r="F20" s="8"/>
      <c r="G20" s="68" t="s">
        <v>164</v>
      </c>
      <c r="H20" s="67">
        <v>1</v>
      </c>
      <c r="I20" s="28">
        <v>33000</v>
      </c>
      <c r="J20" s="15">
        <f t="shared" si="0"/>
        <v>33000</v>
      </c>
    </row>
    <row r="21" spans="2:10" ht="15.75" x14ac:dyDescent="0.25">
      <c r="B21" s="124"/>
      <c r="C21" s="5"/>
      <c r="D21" s="6"/>
      <c r="E21" s="7"/>
      <c r="F21" s="8"/>
      <c r="G21" s="68" t="s">
        <v>106</v>
      </c>
      <c r="H21" s="67">
        <v>50</v>
      </c>
      <c r="I21" s="28">
        <v>3500</v>
      </c>
      <c r="J21" s="15">
        <f t="shared" si="0"/>
        <v>175000</v>
      </c>
    </row>
    <row r="22" spans="2:10" ht="15.75" x14ac:dyDescent="0.25">
      <c r="B22" s="124"/>
      <c r="C22" s="5"/>
      <c r="D22" s="6"/>
      <c r="E22" s="7"/>
      <c r="F22" s="8"/>
      <c r="G22" s="68" t="s">
        <v>264</v>
      </c>
      <c r="H22" s="67">
        <v>1</v>
      </c>
      <c r="I22" s="18">
        <v>130000</v>
      </c>
      <c r="J22" s="15">
        <f t="shared" si="0"/>
        <v>130000</v>
      </c>
    </row>
    <row r="23" spans="2:10" x14ac:dyDescent="0.25">
      <c r="B23" s="124"/>
      <c r="C23" s="5"/>
      <c r="D23" s="6"/>
      <c r="E23" s="7"/>
      <c r="F23" s="8"/>
      <c r="G23" s="17"/>
      <c r="H23" s="19"/>
      <c r="I23" s="18"/>
      <c r="J23" s="15"/>
    </row>
    <row r="24" spans="2:10" x14ac:dyDescent="0.25">
      <c r="B24" s="113" t="s">
        <v>12</v>
      </c>
      <c r="C24" s="113"/>
      <c r="D24" s="113"/>
      <c r="E24" s="113"/>
      <c r="F24" s="114">
        <f>SUM(F11:F23)</f>
        <v>5000000</v>
      </c>
      <c r="G24" s="115" t="s">
        <v>12</v>
      </c>
      <c r="H24" s="115"/>
      <c r="I24" s="115"/>
      <c r="J24" s="116">
        <f>SUM(J11:J23)</f>
        <v>5278000</v>
      </c>
    </row>
    <row r="25" spans="2:10" ht="15.75" thickBot="1" x14ac:dyDescent="0.3">
      <c r="B25" s="113"/>
      <c r="C25" s="113"/>
      <c r="D25" s="113"/>
      <c r="E25" s="113"/>
      <c r="F25" s="114"/>
      <c r="G25" s="115"/>
      <c r="H25" s="115"/>
      <c r="I25" s="115"/>
      <c r="J25" s="116"/>
    </row>
    <row r="26" spans="2:10" ht="15" customHeight="1" x14ac:dyDescent="0.25">
      <c r="B26" s="121" t="s">
        <v>324</v>
      </c>
      <c r="C26" s="121"/>
      <c r="D26" s="121"/>
      <c r="E26" s="121"/>
      <c r="F26" s="121"/>
      <c r="G26" s="121"/>
      <c r="H26" s="121"/>
      <c r="I26" s="121"/>
      <c r="J26" s="121"/>
    </row>
    <row r="27" spans="2:10" x14ac:dyDescent="0.25">
      <c r="B27" s="122" t="s">
        <v>0</v>
      </c>
      <c r="C27" s="123" t="s">
        <v>1</v>
      </c>
      <c r="D27" s="123"/>
      <c r="E27" s="123"/>
      <c r="F27" s="123"/>
      <c r="G27" s="112" t="s">
        <v>2</v>
      </c>
      <c r="H27" s="112"/>
      <c r="I27" s="112"/>
      <c r="J27" s="112"/>
    </row>
    <row r="28" spans="2:10" x14ac:dyDescent="0.25">
      <c r="B28" s="122"/>
      <c r="C28" s="2" t="s">
        <v>3</v>
      </c>
      <c r="D28" s="3" t="s">
        <v>4</v>
      </c>
      <c r="E28" s="3" t="s">
        <v>5</v>
      </c>
      <c r="F28" s="3" t="s">
        <v>6</v>
      </c>
      <c r="G28" s="2" t="s">
        <v>3</v>
      </c>
      <c r="H28" s="3" t="s">
        <v>4</v>
      </c>
      <c r="I28" s="3" t="s">
        <v>5</v>
      </c>
      <c r="J28" s="4" t="s">
        <v>6</v>
      </c>
    </row>
    <row r="29" spans="2:10" ht="30" customHeight="1" x14ac:dyDescent="0.25">
      <c r="B29" s="125" t="s">
        <v>13</v>
      </c>
      <c r="C29" s="5" t="s">
        <v>14</v>
      </c>
      <c r="D29" s="6">
        <v>1</v>
      </c>
      <c r="E29" s="7">
        <v>2000000</v>
      </c>
      <c r="F29" s="8">
        <f t="shared" ref="F29:F52" si="1">D29*E29</f>
        <v>2000000</v>
      </c>
      <c r="G29" s="9" t="s">
        <v>15</v>
      </c>
      <c r="H29" s="70">
        <v>1</v>
      </c>
      <c r="I29" s="7">
        <v>1088000</v>
      </c>
      <c r="J29" s="15">
        <f t="shared" ref="J29:J63" si="2">H29*I29</f>
        <v>1088000</v>
      </c>
    </row>
    <row r="30" spans="2:10" x14ac:dyDescent="0.25">
      <c r="B30" s="125"/>
      <c r="C30" s="11" t="s">
        <v>8</v>
      </c>
      <c r="D30" s="12">
        <v>10</v>
      </c>
      <c r="E30" s="13">
        <v>90000</v>
      </c>
      <c r="F30" s="8">
        <f t="shared" si="1"/>
        <v>900000</v>
      </c>
      <c r="G30" s="17" t="s">
        <v>16</v>
      </c>
      <c r="H30" s="67">
        <v>1</v>
      </c>
      <c r="I30" s="18">
        <v>35000</v>
      </c>
      <c r="J30" s="15">
        <f t="shared" si="2"/>
        <v>35000</v>
      </c>
    </row>
    <row r="31" spans="2:10" x14ac:dyDescent="0.25">
      <c r="B31" s="125"/>
      <c r="C31" s="11"/>
      <c r="D31" s="12"/>
      <c r="E31" s="13"/>
      <c r="F31" s="8"/>
      <c r="G31" s="17" t="s">
        <v>86</v>
      </c>
      <c r="H31" s="67">
        <v>2</v>
      </c>
      <c r="I31" s="18">
        <v>45000</v>
      </c>
      <c r="J31" s="15">
        <f t="shared" si="2"/>
        <v>90000</v>
      </c>
    </row>
    <row r="32" spans="2:10" x14ac:dyDescent="0.25">
      <c r="B32" s="125"/>
      <c r="C32" s="5" t="s">
        <v>77</v>
      </c>
      <c r="D32" s="6">
        <v>100</v>
      </c>
      <c r="E32" s="7">
        <v>3000</v>
      </c>
      <c r="F32" s="8">
        <f t="shared" si="1"/>
        <v>300000</v>
      </c>
      <c r="G32" s="17" t="s">
        <v>17</v>
      </c>
      <c r="H32" s="67">
        <v>1</v>
      </c>
      <c r="I32" s="18">
        <v>1333</v>
      </c>
      <c r="J32" s="15">
        <f t="shared" si="2"/>
        <v>1333</v>
      </c>
    </row>
    <row r="33" spans="2:10" ht="15" customHeight="1" x14ac:dyDescent="0.25">
      <c r="B33" s="125"/>
      <c r="C33" s="11" t="s">
        <v>340</v>
      </c>
      <c r="D33" s="11">
        <v>1</v>
      </c>
      <c r="E33" s="8">
        <v>300000</v>
      </c>
      <c r="F33" s="8">
        <f t="shared" si="1"/>
        <v>300000</v>
      </c>
      <c r="G33" s="17" t="s">
        <v>18</v>
      </c>
      <c r="H33" s="67">
        <v>2</v>
      </c>
      <c r="I33" s="18">
        <v>32000</v>
      </c>
      <c r="J33" s="15">
        <f t="shared" si="2"/>
        <v>64000</v>
      </c>
    </row>
    <row r="34" spans="2:10" ht="15" customHeight="1" x14ac:dyDescent="0.25">
      <c r="B34" s="125"/>
      <c r="C34" s="11"/>
      <c r="D34" s="11"/>
      <c r="E34" s="11"/>
      <c r="F34" s="8"/>
      <c r="G34" s="17" t="s">
        <v>325</v>
      </c>
      <c r="H34" s="67">
        <v>1</v>
      </c>
      <c r="I34" s="18">
        <v>40000</v>
      </c>
      <c r="J34" s="15">
        <f t="shared" si="2"/>
        <v>40000</v>
      </c>
    </row>
    <row r="35" spans="2:10" x14ac:dyDescent="0.25">
      <c r="B35" s="125"/>
      <c r="C35" s="5"/>
      <c r="D35" s="6"/>
      <c r="E35" s="7"/>
      <c r="F35" s="8">
        <f t="shared" si="1"/>
        <v>0</v>
      </c>
      <c r="G35" s="17" t="s">
        <v>19</v>
      </c>
      <c r="H35" s="67">
        <v>1</v>
      </c>
      <c r="I35" s="18">
        <v>11000</v>
      </c>
      <c r="J35" s="15">
        <f t="shared" si="2"/>
        <v>11000</v>
      </c>
    </row>
    <row r="36" spans="2:10" x14ac:dyDescent="0.25">
      <c r="B36" s="125"/>
      <c r="C36" s="5"/>
      <c r="D36" s="6"/>
      <c r="E36" s="7"/>
      <c r="F36" s="8"/>
      <c r="G36" s="17" t="s">
        <v>88</v>
      </c>
      <c r="H36" s="67">
        <v>2</v>
      </c>
      <c r="I36" s="18">
        <v>13000</v>
      </c>
      <c r="J36" s="15">
        <f t="shared" si="2"/>
        <v>26000</v>
      </c>
    </row>
    <row r="37" spans="2:10" x14ac:dyDescent="0.25">
      <c r="B37" s="125"/>
      <c r="C37" s="5"/>
      <c r="D37" s="6"/>
      <c r="E37" s="7"/>
      <c r="F37" s="8"/>
      <c r="G37" s="17" t="s">
        <v>403</v>
      </c>
      <c r="H37" s="67">
        <v>3</v>
      </c>
      <c r="I37" s="18">
        <v>5900</v>
      </c>
      <c r="J37" s="15">
        <f t="shared" si="2"/>
        <v>17700</v>
      </c>
    </row>
    <row r="38" spans="2:10" x14ac:dyDescent="0.25">
      <c r="B38" s="125"/>
      <c r="C38" s="5"/>
      <c r="D38" s="6"/>
      <c r="E38" s="7"/>
      <c r="F38" s="8">
        <f t="shared" si="1"/>
        <v>0</v>
      </c>
      <c r="G38" s="17" t="s">
        <v>20</v>
      </c>
      <c r="H38" s="67">
        <v>2</v>
      </c>
      <c r="I38" s="18">
        <v>2000</v>
      </c>
      <c r="J38" s="15">
        <f t="shared" si="2"/>
        <v>4000</v>
      </c>
    </row>
    <row r="39" spans="2:10" x14ac:dyDescent="0.25">
      <c r="B39" s="125"/>
      <c r="C39" s="5"/>
      <c r="D39" s="6"/>
      <c r="E39" s="7"/>
      <c r="F39" s="8"/>
      <c r="G39" s="17" t="s">
        <v>79</v>
      </c>
      <c r="H39" s="67">
        <v>5</v>
      </c>
      <c r="I39" s="18">
        <v>5000</v>
      </c>
      <c r="J39" s="15">
        <f t="shared" si="2"/>
        <v>25000</v>
      </c>
    </row>
    <row r="40" spans="2:10" x14ac:dyDescent="0.25">
      <c r="B40" s="125"/>
      <c r="C40" s="5"/>
      <c r="D40" s="6"/>
      <c r="E40" s="7"/>
      <c r="F40" s="8">
        <f t="shared" si="1"/>
        <v>0</v>
      </c>
      <c r="G40" s="17" t="s">
        <v>21</v>
      </c>
      <c r="H40" s="67">
        <v>2</v>
      </c>
      <c r="I40" s="18">
        <v>1333</v>
      </c>
      <c r="J40" s="15">
        <f t="shared" si="2"/>
        <v>2666</v>
      </c>
    </row>
    <row r="41" spans="2:10" x14ac:dyDescent="0.25">
      <c r="B41" s="125"/>
      <c r="C41" s="5"/>
      <c r="D41" s="6"/>
      <c r="E41" s="7"/>
      <c r="F41" s="8">
        <f t="shared" si="1"/>
        <v>0</v>
      </c>
      <c r="G41" s="17" t="s">
        <v>22</v>
      </c>
      <c r="H41" s="69">
        <v>10</v>
      </c>
      <c r="I41" s="18">
        <v>4000</v>
      </c>
      <c r="J41" s="15">
        <f t="shared" si="2"/>
        <v>40000</v>
      </c>
    </row>
    <row r="42" spans="2:10" x14ac:dyDescent="0.25">
      <c r="B42" s="125"/>
      <c r="C42" s="5"/>
      <c r="D42" s="6"/>
      <c r="E42" s="7"/>
      <c r="F42" s="8"/>
      <c r="G42" s="17" t="s">
        <v>69</v>
      </c>
      <c r="H42" s="69">
        <v>3</v>
      </c>
      <c r="I42" s="18">
        <v>3000</v>
      </c>
      <c r="J42" s="15">
        <f t="shared" si="2"/>
        <v>9000</v>
      </c>
    </row>
    <row r="43" spans="2:10" x14ac:dyDescent="0.25">
      <c r="B43" s="125"/>
      <c r="C43" s="5"/>
      <c r="D43" s="6"/>
      <c r="E43" s="7"/>
      <c r="F43" s="8"/>
      <c r="G43" s="17" t="s">
        <v>23</v>
      </c>
      <c r="H43" s="67">
        <v>6</v>
      </c>
      <c r="I43" s="18">
        <v>2000</v>
      </c>
      <c r="J43" s="15">
        <f t="shared" si="2"/>
        <v>12000</v>
      </c>
    </row>
    <row r="44" spans="2:10" ht="15.75" x14ac:dyDescent="0.25">
      <c r="B44" s="125"/>
      <c r="C44" s="5"/>
      <c r="D44" s="6"/>
      <c r="E44" s="7"/>
      <c r="F44" s="8"/>
      <c r="G44" s="92" t="s">
        <v>358</v>
      </c>
      <c r="H44" s="67">
        <v>3</v>
      </c>
      <c r="I44" s="18"/>
      <c r="J44" s="15"/>
    </row>
    <row r="45" spans="2:10" ht="30" x14ac:dyDescent="0.25">
      <c r="B45" s="125"/>
      <c r="C45" s="5"/>
      <c r="D45" s="6"/>
      <c r="E45" s="7"/>
      <c r="F45" s="8">
        <f t="shared" si="1"/>
        <v>0</v>
      </c>
      <c r="G45" s="17" t="s">
        <v>24</v>
      </c>
      <c r="H45" s="69">
        <v>4</v>
      </c>
      <c r="I45" s="30">
        <v>146667</v>
      </c>
      <c r="J45" s="10">
        <f t="shared" si="2"/>
        <v>586668</v>
      </c>
    </row>
    <row r="46" spans="2:10" ht="30" x14ac:dyDescent="0.25">
      <c r="B46" s="125"/>
      <c r="C46" s="5"/>
      <c r="D46" s="6"/>
      <c r="E46" s="7"/>
      <c r="F46" s="8"/>
      <c r="G46" s="17" t="s">
        <v>70</v>
      </c>
      <c r="H46" s="67">
        <v>2</v>
      </c>
      <c r="I46" s="30">
        <v>200000</v>
      </c>
      <c r="J46" s="10">
        <f t="shared" si="2"/>
        <v>400000</v>
      </c>
    </row>
    <row r="47" spans="2:10" x14ac:dyDescent="0.25">
      <c r="B47" s="125"/>
      <c r="C47" s="5"/>
      <c r="D47" s="6"/>
      <c r="E47" s="7"/>
      <c r="F47" s="8">
        <f t="shared" si="1"/>
        <v>0</v>
      </c>
      <c r="G47" s="17" t="s">
        <v>25</v>
      </c>
      <c r="H47" s="67">
        <v>5</v>
      </c>
      <c r="I47" s="18">
        <v>2000</v>
      </c>
      <c r="J47" s="15">
        <f t="shared" si="2"/>
        <v>10000</v>
      </c>
    </row>
    <row r="48" spans="2:10" x14ac:dyDescent="0.25">
      <c r="B48" s="125"/>
      <c r="C48" s="5"/>
      <c r="D48" s="6"/>
      <c r="E48" s="7"/>
      <c r="F48" s="8">
        <f t="shared" si="1"/>
        <v>0</v>
      </c>
      <c r="G48" s="17" t="s">
        <v>26</v>
      </c>
      <c r="H48" s="67">
        <v>2</v>
      </c>
      <c r="I48" s="18">
        <v>1333</v>
      </c>
      <c r="J48" s="15">
        <f t="shared" si="2"/>
        <v>2666</v>
      </c>
    </row>
    <row r="49" spans="2:12" x14ac:dyDescent="0.25">
      <c r="B49" s="125"/>
      <c r="C49" s="5"/>
      <c r="D49" s="6"/>
      <c r="E49" s="7"/>
      <c r="F49" s="8">
        <f t="shared" si="1"/>
        <v>0</v>
      </c>
      <c r="G49" s="17" t="s">
        <v>27</v>
      </c>
      <c r="H49" s="69">
        <v>5</v>
      </c>
      <c r="I49" s="18">
        <v>38000</v>
      </c>
      <c r="J49" s="15">
        <f t="shared" si="2"/>
        <v>190000</v>
      </c>
    </row>
    <row r="50" spans="2:12" x14ac:dyDescent="0.25">
      <c r="B50" s="125"/>
      <c r="C50" s="5"/>
      <c r="D50" s="6"/>
      <c r="E50" s="7"/>
      <c r="F50" s="8">
        <f t="shared" si="1"/>
        <v>0</v>
      </c>
      <c r="G50" s="17" t="s">
        <v>28</v>
      </c>
      <c r="H50" s="69">
        <v>5</v>
      </c>
      <c r="I50" s="18">
        <v>2700</v>
      </c>
      <c r="J50" s="15">
        <f t="shared" si="2"/>
        <v>13500</v>
      </c>
    </row>
    <row r="51" spans="2:12" x14ac:dyDescent="0.25">
      <c r="B51" s="125"/>
      <c r="C51" s="5"/>
      <c r="D51" s="6"/>
      <c r="E51" s="7"/>
      <c r="F51" s="8"/>
      <c r="G51" s="17" t="s">
        <v>402</v>
      </c>
      <c r="H51" s="69">
        <v>1</v>
      </c>
      <c r="I51" s="18">
        <v>2700</v>
      </c>
      <c r="J51" s="15">
        <f t="shared" si="2"/>
        <v>2700</v>
      </c>
    </row>
    <row r="52" spans="2:12" x14ac:dyDescent="0.25">
      <c r="B52" s="125"/>
      <c r="C52" s="5"/>
      <c r="D52" s="6"/>
      <c r="E52" s="7"/>
      <c r="F52" s="8">
        <f t="shared" si="1"/>
        <v>0</v>
      </c>
      <c r="G52" s="17" t="s">
        <v>80</v>
      </c>
      <c r="H52" s="67">
        <v>2</v>
      </c>
      <c r="I52" s="18">
        <v>16000</v>
      </c>
      <c r="J52" s="15">
        <f t="shared" si="2"/>
        <v>32000</v>
      </c>
      <c r="L52">
        <v>130</v>
      </c>
    </row>
    <row r="53" spans="2:12" x14ac:dyDescent="0.25">
      <c r="B53" s="125"/>
      <c r="C53" s="5"/>
      <c r="D53" s="6"/>
      <c r="E53" s="7"/>
      <c r="F53" s="8"/>
      <c r="G53" s="17" t="s">
        <v>29</v>
      </c>
      <c r="H53" s="67">
        <v>4</v>
      </c>
      <c r="I53" s="18">
        <v>533</v>
      </c>
      <c r="J53" s="15">
        <f t="shared" si="2"/>
        <v>2132</v>
      </c>
    </row>
    <row r="54" spans="2:12" x14ac:dyDescent="0.25">
      <c r="B54" s="125"/>
      <c r="C54" s="5"/>
      <c r="D54" s="6"/>
      <c r="E54" s="7"/>
      <c r="F54" s="8"/>
      <c r="G54" s="17" t="s">
        <v>30</v>
      </c>
      <c r="H54" s="67">
        <v>4</v>
      </c>
      <c r="I54" s="18">
        <v>533</v>
      </c>
      <c r="J54" s="15">
        <f t="shared" si="2"/>
        <v>2132</v>
      </c>
    </row>
    <row r="55" spans="2:12" x14ac:dyDescent="0.25">
      <c r="B55" s="125"/>
      <c r="C55" s="5"/>
      <c r="D55" s="6"/>
      <c r="E55" s="7"/>
      <c r="F55" s="8"/>
      <c r="G55" s="17" t="s">
        <v>326</v>
      </c>
      <c r="H55" s="67">
        <v>1</v>
      </c>
      <c r="I55" s="18">
        <v>5000</v>
      </c>
      <c r="J55" s="15">
        <f t="shared" si="2"/>
        <v>5000</v>
      </c>
    </row>
    <row r="56" spans="2:12" x14ac:dyDescent="0.25">
      <c r="B56" s="125"/>
      <c r="C56" s="5"/>
      <c r="D56" s="6"/>
      <c r="E56" s="7"/>
      <c r="F56" s="8"/>
      <c r="G56" s="17" t="s">
        <v>327</v>
      </c>
      <c r="H56" s="67">
        <v>1</v>
      </c>
      <c r="I56" s="18">
        <v>5000</v>
      </c>
      <c r="J56" s="15">
        <f t="shared" si="2"/>
        <v>5000</v>
      </c>
    </row>
    <row r="57" spans="2:12" x14ac:dyDescent="0.25">
      <c r="B57" s="125"/>
      <c r="C57" s="5"/>
      <c r="D57" s="6"/>
      <c r="E57" s="7"/>
      <c r="F57" s="8"/>
      <c r="G57" s="17" t="s">
        <v>328</v>
      </c>
      <c r="H57" s="67">
        <v>1</v>
      </c>
      <c r="I57" s="18">
        <v>3000</v>
      </c>
      <c r="J57" s="15">
        <f t="shared" si="2"/>
        <v>3000</v>
      </c>
    </row>
    <row r="58" spans="2:12" x14ac:dyDescent="0.25">
      <c r="B58" s="125"/>
      <c r="C58" s="5"/>
      <c r="D58" s="6"/>
      <c r="E58" s="7"/>
      <c r="F58" s="8"/>
      <c r="G58" s="17" t="s">
        <v>31</v>
      </c>
      <c r="H58" s="67">
        <v>4</v>
      </c>
      <c r="I58" s="18">
        <v>3000</v>
      </c>
      <c r="J58" s="15">
        <f t="shared" si="2"/>
        <v>12000</v>
      </c>
    </row>
    <row r="59" spans="2:12" x14ac:dyDescent="0.25">
      <c r="B59" s="125"/>
      <c r="C59" s="5"/>
      <c r="D59" s="6"/>
      <c r="E59" s="7"/>
      <c r="F59" s="8">
        <f>D59*E59</f>
        <v>0</v>
      </c>
      <c r="G59" s="17" t="s">
        <v>400</v>
      </c>
      <c r="H59" s="67">
        <v>20</v>
      </c>
      <c r="I59" s="18">
        <v>5333</v>
      </c>
      <c r="J59" s="15">
        <f t="shared" si="2"/>
        <v>106660</v>
      </c>
    </row>
    <row r="60" spans="2:12" x14ac:dyDescent="0.25">
      <c r="B60" s="125"/>
      <c r="C60" s="5"/>
      <c r="D60" s="6"/>
      <c r="E60" s="7"/>
      <c r="F60" s="8"/>
      <c r="G60" s="17" t="s">
        <v>32</v>
      </c>
      <c r="H60" s="67">
        <v>1</v>
      </c>
      <c r="I60" s="18">
        <v>160000</v>
      </c>
      <c r="J60" s="15">
        <f t="shared" si="2"/>
        <v>160000</v>
      </c>
    </row>
    <row r="61" spans="2:12" ht="15.75" customHeight="1" x14ac:dyDescent="0.25">
      <c r="B61" s="125"/>
      <c r="C61" s="5"/>
      <c r="D61" s="6"/>
      <c r="E61" s="7"/>
      <c r="F61" s="8"/>
      <c r="G61" s="16" t="s">
        <v>33</v>
      </c>
      <c r="H61" s="67">
        <v>2</v>
      </c>
      <c r="I61" s="18">
        <v>53333</v>
      </c>
      <c r="J61" s="15">
        <f t="shared" si="2"/>
        <v>106666</v>
      </c>
    </row>
    <row r="62" spans="2:12" ht="33" customHeight="1" x14ac:dyDescent="0.25">
      <c r="B62" s="125"/>
      <c r="C62" s="5"/>
      <c r="D62" s="6"/>
      <c r="E62" s="7"/>
      <c r="F62" s="8"/>
      <c r="G62" s="16" t="s">
        <v>78</v>
      </c>
      <c r="H62" s="67">
        <v>1</v>
      </c>
      <c r="I62" s="18">
        <v>3633300</v>
      </c>
      <c r="J62" s="15">
        <f t="shared" si="2"/>
        <v>3633300</v>
      </c>
    </row>
    <row r="63" spans="2:12" x14ac:dyDescent="0.25">
      <c r="B63" s="125"/>
      <c r="C63" s="5"/>
      <c r="D63" s="6"/>
      <c r="E63" s="7"/>
      <c r="F63" s="8"/>
      <c r="G63" s="17" t="s">
        <v>34</v>
      </c>
      <c r="H63" s="67">
        <v>20</v>
      </c>
      <c r="I63" s="18">
        <v>20000</v>
      </c>
      <c r="J63" s="15">
        <f t="shared" si="2"/>
        <v>400000</v>
      </c>
    </row>
    <row r="64" spans="2:12" x14ac:dyDescent="0.25">
      <c r="B64" s="113" t="s">
        <v>12</v>
      </c>
      <c r="C64" s="113"/>
      <c r="D64" s="113"/>
      <c r="E64" s="113"/>
      <c r="F64" s="114">
        <f>SUM(F29:F60)</f>
        <v>3500000</v>
      </c>
      <c r="G64" s="115" t="s">
        <v>12</v>
      </c>
      <c r="H64" s="115"/>
      <c r="I64" s="115"/>
      <c r="J64" s="116">
        <f>SUM(J29:J63)</f>
        <v>7139123</v>
      </c>
    </row>
    <row r="65" spans="2:10" ht="15.75" thickBot="1" x14ac:dyDescent="0.3">
      <c r="B65" s="113"/>
      <c r="C65" s="113"/>
      <c r="D65" s="113"/>
      <c r="E65" s="113"/>
      <c r="F65" s="114"/>
      <c r="G65" s="115"/>
      <c r="H65" s="115"/>
      <c r="I65" s="115"/>
      <c r="J65" s="116"/>
    </row>
    <row r="66" spans="2:10" ht="15" customHeight="1" x14ac:dyDescent="0.25">
      <c r="B66" s="121" t="s">
        <v>336</v>
      </c>
      <c r="C66" s="121"/>
      <c r="D66" s="121"/>
      <c r="E66" s="121"/>
      <c r="F66" s="121"/>
      <c r="G66" s="121"/>
      <c r="H66" s="121"/>
      <c r="I66" s="121"/>
      <c r="J66" s="121"/>
    </row>
    <row r="67" spans="2:10" x14ac:dyDescent="0.25">
      <c r="B67" s="122" t="s">
        <v>0</v>
      </c>
      <c r="C67" s="123" t="s">
        <v>1</v>
      </c>
      <c r="D67" s="123"/>
      <c r="E67" s="123"/>
      <c r="F67" s="123"/>
      <c r="G67" s="112" t="s">
        <v>2</v>
      </c>
      <c r="H67" s="112"/>
      <c r="I67" s="112"/>
      <c r="J67" s="112"/>
    </row>
    <row r="68" spans="2:10" x14ac:dyDescent="0.25">
      <c r="B68" s="122"/>
      <c r="C68" s="2" t="s">
        <v>3</v>
      </c>
      <c r="D68" s="3" t="s">
        <v>4</v>
      </c>
      <c r="E68" s="3" t="s">
        <v>5</v>
      </c>
      <c r="F68" s="3" t="s">
        <v>6</v>
      </c>
      <c r="G68" s="2" t="s">
        <v>3</v>
      </c>
      <c r="H68" s="3" t="s">
        <v>4</v>
      </c>
      <c r="I68" s="3" t="s">
        <v>5</v>
      </c>
      <c r="J68" s="4" t="s">
        <v>6</v>
      </c>
    </row>
    <row r="69" spans="2:10" x14ac:dyDescent="0.25">
      <c r="B69" s="2"/>
      <c r="C69" s="2"/>
      <c r="D69" s="3"/>
      <c r="E69" s="3"/>
      <c r="F69" s="21"/>
      <c r="G69" s="71" t="s">
        <v>35</v>
      </c>
      <c r="H69" s="72"/>
      <c r="I69" s="18">
        <v>1500</v>
      </c>
      <c r="J69" s="15">
        <f t="shared" ref="J69:J82" si="3">H69*I69</f>
        <v>0</v>
      </c>
    </row>
    <row r="70" spans="2:10" x14ac:dyDescent="0.25">
      <c r="B70" s="20"/>
      <c r="C70" s="5" t="s">
        <v>8</v>
      </c>
      <c r="D70" s="6">
        <v>5</v>
      </c>
      <c r="E70" s="7">
        <v>90000</v>
      </c>
      <c r="F70" s="8">
        <f>D70*E70</f>
        <v>450000</v>
      </c>
      <c r="G70" s="73" t="s">
        <v>36</v>
      </c>
      <c r="H70" s="72"/>
      <c r="I70" s="18">
        <v>1500</v>
      </c>
      <c r="J70" s="15">
        <f t="shared" si="3"/>
        <v>0</v>
      </c>
    </row>
    <row r="71" spans="2:10" x14ac:dyDescent="0.25">
      <c r="B71" s="20"/>
      <c r="C71" s="5"/>
      <c r="D71" s="6"/>
      <c r="E71" s="7"/>
      <c r="F71" s="8">
        <f t="shared" ref="F71:F73" si="4">D71*E71</f>
        <v>0</v>
      </c>
      <c r="G71" s="73" t="s">
        <v>37</v>
      </c>
      <c r="H71" s="72"/>
      <c r="I71" s="18">
        <v>1500</v>
      </c>
      <c r="J71" s="15">
        <f t="shared" si="3"/>
        <v>0</v>
      </c>
    </row>
    <row r="72" spans="2:10" x14ac:dyDescent="0.25">
      <c r="B72" s="20"/>
      <c r="C72" s="5" t="s">
        <v>337</v>
      </c>
      <c r="D72" s="6">
        <v>100</v>
      </c>
      <c r="E72" s="7">
        <v>1500</v>
      </c>
      <c r="F72" s="8">
        <f t="shared" si="4"/>
        <v>150000</v>
      </c>
      <c r="G72" s="73" t="s">
        <v>38</v>
      </c>
      <c r="H72" s="72"/>
      <c r="I72" s="18">
        <v>1500</v>
      </c>
      <c r="J72" s="15">
        <f t="shared" si="3"/>
        <v>0</v>
      </c>
    </row>
    <row r="73" spans="2:10" x14ac:dyDescent="0.25">
      <c r="B73" s="20"/>
      <c r="C73" s="5"/>
      <c r="D73" s="6"/>
      <c r="E73" s="7"/>
      <c r="F73" s="8">
        <f t="shared" si="4"/>
        <v>0</v>
      </c>
      <c r="G73" s="73" t="s">
        <v>39</v>
      </c>
      <c r="H73" s="72"/>
      <c r="I73" s="18">
        <v>1500</v>
      </c>
      <c r="J73" s="15">
        <f t="shared" si="3"/>
        <v>0</v>
      </c>
    </row>
    <row r="74" spans="2:10" x14ac:dyDescent="0.25">
      <c r="B74" s="20"/>
      <c r="C74" s="5"/>
      <c r="D74" s="6"/>
      <c r="E74" s="7"/>
      <c r="F74" s="8"/>
      <c r="G74" s="73" t="s">
        <v>40</v>
      </c>
      <c r="H74" s="72"/>
      <c r="I74" s="18">
        <v>1500</v>
      </c>
      <c r="J74" s="15">
        <f t="shared" si="3"/>
        <v>0</v>
      </c>
    </row>
    <row r="75" spans="2:10" x14ac:dyDescent="0.25">
      <c r="B75" s="20"/>
      <c r="C75" s="5"/>
      <c r="D75" s="6"/>
      <c r="E75" s="7"/>
      <c r="F75" s="8"/>
      <c r="G75" s="17" t="s">
        <v>329</v>
      </c>
      <c r="H75" s="29">
        <v>166</v>
      </c>
      <c r="I75" s="18">
        <v>1500</v>
      </c>
      <c r="J75" s="15">
        <f t="shared" si="3"/>
        <v>249000</v>
      </c>
    </row>
    <row r="76" spans="2:10" x14ac:dyDescent="0.25">
      <c r="B76" s="20"/>
      <c r="C76" s="5"/>
      <c r="D76" s="6"/>
      <c r="E76" s="7"/>
      <c r="F76" s="8"/>
      <c r="G76" s="17" t="s">
        <v>331</v>
      </c>
      <c r="H76" s="29">
        <v>166</v>
      </c>
      <c r="I76" s="18">
        <v>1500</v>
      </c>
      <c r="J76" s="15">
        <f t="shared" si="3"/>
        <v>249000</v>
      </c>
    </row>
    <row r="77" spans="2:10" x14ac:dyDescent="0.25">
      <c r="B77" s="20"/>
      <c r="C77" s="5"/>
      <c r="D77" s="6"/>
      <c r="E77" s="7"/>
      <c r="F77" s="8"/>
      <c r="G77" s="17" t="s">
        <v>330</v>
      </c>
      <c r="H77" s="29">
        <v>166</v>
      </c>
      <c r="I77" s="18">
        <v>1500</v>
      </c>
      <c r="J77" s="15">
        <f t="shared" si="3"/>
        <v>249000</v>
      </c>
    </row>
    <row r="78" spans="2:10" x14ac:dyDescent="0.25">
      <c r="B78" s="20"/>
      <c r="C78" s="5"/>
      <c r="D78" s="6"/>
      <c r="E78" s="7"/>
      <c r="F78" s="8"/>
      <c r="G78" s="17" t="s">
        <v>332</v>
      </c>
      <c r="H78" s="29">
        <v>166</v>
      </c>
      <c r="I78" s="18">
        <v>1500</v>
      </c>
      <c r="J78" s="15">
        <f t="shared" si="3"/>
        <v>249000</v>
      </c>
    </row>
    <row r="79" spans="2:10" x14ac:dyDescent="0.25">
      <c r="B79" s="20"/>
      <c r="C79" s="5"/>
      <c r="D79" s="6"/>
      <c r="E79" s="7"/>
      <c r="F79" s="8"/>
      <c r="G79" s="17" t="s">
        <v>333</v>
      </c>
      <c r="H79" s="29">
        <v>166</v>
      </c>
      <c r="I79" s="18">
        <v>1500</v>
      </c>
      <c r="J79" s="15">
        <f t="shared" si="3"/>
        <v>249000</v>
      </c>
    </row>
    <row r="80" spans="2:10" x14ac:dyDescent="0.25">
      <c r="B80" s="20"/>
      <c r="C80" s="5"/>
      <c r="D80" s="6"/>
      <c r="E80" s="7"/>
      <c r="F80" s="8"/>
      <c r="G80" s="17" t="s">
        <v>334</v>
      </c>
      <c r="H80" s="29">
        <v>166</v>
      </c>
      <c r="I80" s="18">
        <v>1500</v>
      </c>
      <c r="J80" s="15">
        <f t="shared" si="3"/>
        <v>249000</v>
      </c>
    </row>
    <row r="81" spans="1:10" x14ac:dyDescent="0.25">
      <c r="B81" s="20"/>
      <c r="C81" s="5"/>
      <c r="D81" s="6"/>
      <c r="E81" s="7"/>
      <c r="F81" s="8"/>
      <c r="G81" s="17"/>
      <c r="H81" s="29"/>
      <c r="I81" s="18">
        <v>1500</v>
      </c>
      <c r="J81" s="15">
        <f t="shared" si="3"/>
        <v>0</v>
      </c>
    </row>
    <row r="82" spans="1:10" x14ac:dyDescent="0.25">
      <c r="B82" s="22"/>
      <c r="C82" s="5"/>
      <c r="D82" s="6"/>
      <c r="E82" s="7"/>
      <c r="F82" s="8"/>
      <c r="G82" s="73" t="s">
        <v>41</v>
      </c>
      <c r="H82" s="72">
        <v>112</v>
      </c>
      <c r="I82" s="18">
        <v>1500</v>
      </c>
      <c r="J82" s="15">
        <f t="shared" si="3"/>
        <v>168000</v>
      </c>
    </row>
    <row r="83" spans="1:10" x14ac:dyDescent="0.25">
      <c r="B83" s="113" t="s">
        <v>12</v>
      </c>
      <c r="C83" s="113"/>
      <c r="D83" s="113"/>
      <c r="E83" s="113"/>
      <c r="F83" s="114">
        <f>SUM(F70:F82)</f>
        <v>600000</v>
      </c>
      <c r="G83" s="115" t="s">
        <v>12</v>
      </c>
      <c r="H83" s="115"/>
      <c r="I83" s="115"/>
      <c r="J83" s="116">
        <f>SUM(J69:J82)</f>
        <v>1662000</v>
      </c>
    </row>
    <row r="84" spans="1:10" ht="15.75" thickBot="1" x14ac:dyDescent="0.3">
      <c r="B84" s="113"/>
      <c r="C84" s="113"/>
      <c r="D84" s="113"/>
      <c r="E84" s="113"/>
      <c r="F84" s="114"/>
      <c r="G84" s="115"/>
      <c r="H84" s="115"/>
      <c r="I84" s="115"/>
      <c r="J84" s="116"/>
    </row>
    <row r="85" spans="1:10" ht="14.85" customHeight="1" x14ac:dyDescent="0.25">
      <c r="B85" s="121" t="s">
        <v>335</v>
      </c>
      <c r="C85" s="121"/>
      <c r="D85" s="121"/>
      <c r="E85" s="121"/>
      <c r="F85" s="121"/>
      <c r="G85" s="121"/>
      <c r="H85" s="121"/>
      <c r="I85" s="121"/>
      <c r="J85" s="121"/>
    </row>
    <row r="86" spans="1:10" x14ac:dyDescent="0.25">
      <c r="B86" s="122" t="s">
        <v>0</v>
      </c>
      <c r="C86" s="123" t="s">
        <v>1</v>
      </c>
      <c r="D86" s="123"/>
      <c r="E86" s="123"/>
      <c r="F86" s="123"/>
      <c r="G86" s="112" t="s">
        <v>2</v>
      </c>
      <c r="H86" s="112"/>
      <c r="I86" s="112"/>
      <c r="J86" s="112"/>
    </row>
    <row r="87" spans="1:10" x14ac:dyDescent="0.25">
      <c r="B87" s="122"/>
      <c r="C87" s="2" t="s">
        <v>3</v>
      </c>
      <c r="D87" s="3" t="s">
        <v>4</v>
      </c>
      <c r="E87" s="3" t="s">
        <v>5</v>
      </c>
      <c r="F87" s="3" t="s">
        <v>6</v>
      </c>
      <c r="G87" s="2" t="s">
        <v>3</v>
      </c>
      <c r="H87" s="3" t="s">
        <v>4</v>
      </c>
      <c r="I87" s="3" t="s">
        <v>5</v>
      </c>
      <c r="J87" s="4" t="s">
        <v>6</v>
      </c>
    </row>
    <row r="88" spans="1:10" x14ac:dyDescent="0.25">
      <c r="B88" s="124"/>
      <c r="C88" s="5"/>
      <c r="D88" s="6"/>
      <c r="E88" s="7">
        <v>15000</v>
      </c>
      <c r="F88" s="8">
        <f t="shared" ref="F88:F93" si="5">D88*E88</f>
        <v>0</v>
      </c>
      <c r="G88" s="23" t="s">
        <v>42</v>
      </c>
      <c r="H88" s="6">
        <v>4</v>
      </c>
      <c r="I88" s="7">
        <v>15000</v>
      </c>
      <c r="J88" s="15">
        <f t="shared" ref="J88:J118" si="6">H88*I88</f>
        <v>60000</v>
      </c>
    </row>
    <row r="89" spans="1:10" x14ac:dyDescent="0.25">
      <c r="B89" s="124"/>
      <c r="C89" s="11" t="s">
        <v>74</v>
      </c>
      <c r="D89" s="12">
        <v>50</v>
      </c>
      <c r="E89" s="13">
        <v>5000</v>
      </c>
      <c r="F89" s="8">
        <f t="shared" si="5"/>
        <v>250000</v>
      </c>
      <c r="G89" s="23" t="s">
        <v>44</v>
      </c>
      <c r="H89" s="14">
        <v>5</v>
      </c>
      <c r="I89" s="7">
        <v>15000</v>
      </c>
      <c r="J89" s="15">
        <f t="shared" si="6"/>
        <v>75000</v>
      </c>
    </row>
    <row r="90" spans="1:10" x14ac:dyDescent="0.25">
      <c r="B90" s="124"/>
      <c r="C90" s="5" t="s">
        <v>43</v>
      </c>
      <c r="D90" s="6">
        <v>100</v>
      </c>
      <c r="E90" s="7">
        <v>5000</v>
      </c>
      <c r="F90" s="8">
        <f t="shared" si="5"/>
        <v>500000</v>
      </c>
      <c r="G90" s="23" t="s">
        <v>76</v>
      </c>
      <c r="H90" s="14">
        <v>5</v>
      </c>
      <c r="I90" s="7">
        <v>15000</v>
      </c>
      <c r="J90" s="15">
        <f t="shared" si="6"/>
        <v>75000</v>
      </c>
    </row>
    <row r="91" spans="1:10" x14ac:dyDescent="0.25">
      <c r="A91">
        <v>540</v>
      </c>
      <c r="B91" s="124"/>
      <c r="C91" s="5" t="s">
        <v>45</v>
      </c>
      <c r="D91" s="6">
        <v>50</v>
      </c>
      <c r="E91" s="7">
        <v>1000</v>
      </c>
      <c r="F91" s="8">
        <f t="shared" si="5"/>
        <v>50000</v>
      </c>
      <c r="G91" s="23" t="s">
        <v>47</v>
      </c>
      <c r="H91" s="14">
        <v>5</v>
      </c>
      <c r="I91" s="7">
        <v>15000</v>
      </c>
      <c r="J91" s="15">
        <f t="shared" si="6"/>
        <v>75000</v>
      </c>
    </row>
    <row r="92" spans="1:10" x14ac:dyDescent="0.25">
      <c r="B92" s="124"/>
      <c r="C92" s="5" t="s">
        <v>46</v>
      </c>
      <c r="D92" s="6">
        <v>500</v>
      </c>
      <c r="E92" s="7">
        <v>500</v>
      </c>
      <c r="F92" s="8">
        <f t="shared" si="5"/>
        <v>250000</v>
      </c>
      <c r="G92" s="23" t="s">
        <v>49</v>
      </c>
      <c r="H92" s="14">
        <v>5</v>
      </c>
      <c r="I92" s="7">
        <v>3000</v>
      </c>
      <c r="J92" s="15">
        <f t="shared" si="6"/>
        <v>15000</v>
      </c>
    </row>
    <row r="93" spans="1:10" x14ac:dyDescent="0.25">
      <c r="B93" s="124"/>
      <c r="C93" s="5" t="s">
        <v>48</v>
      </c>
      <c r="D93" s="6">
        <v>50</v>
      </c>
      <c r="E93" s="7">
        <v>500</v>
      </c>
      <c r="F93" s="8">
        <f t="shared" si="5"/>
        <v>25000</v>
      </c>
      <c r="G93" s="23" t="s">
        <v>50</v>
      </c>
      <c r="H93" s="14">
        <v>10</v>
      </c>
      <c r="I93" s="18">
        <v>15000</v>
      </c>
      <c r="J93" s="15">
        <f t="shared" ref="J93:J95" si="7">H92*I92</f>
        <v>15000</v>
      </c>
    </row>
    <row r="94" spans="1:10" x14ac:dyDescent="0.25">
      <c r="B94" s="124"/>
      <c r="C94" s="23" t="s">
        <v>54</v>
      </c>
      <c r="D94" s="14">
        <v>3</v>
      </c>
      <c r="E94" s="18">
        <v>3000</v>
      </c>
      <c r="F94" s="8">
        <f>D94*E94</f>
        <v>9000</v>
      </c>
      <c r="G94" s="23" t="s">
        <v>51</v>
      </c>
      <c r="H94" s="14">
        <v>5</v>
      </c>
      <c r="I94" s="7">
        <v>15000</v>
      </c>
      <c r="J94" s="15">
        <f t="shared" si="7"/>
        <v>150000</v>
      </c>
    </row>
    <row r="95" spans="1:10" x14ac:dyDescent="0.25">
      <c r="B95" s="124"/>
      <c r="C95" s="23" t="s">
        <v>71</v>
      </c>
      <c r="D95" s="14">
        <v>5</v>
      </c>
      <c r="E95" s="18">
        <v>5000</v>
      </c>
      <c r="F95" s="8">
        <f>D95*E95</f>
        <v>25000</v>
      </c>
      <c r="G95" s="23" t="s">
        <v>52</v>
      </c>
      <c r="H95" s="14">
        <v>5</v>
      </c>
      <c r="I95" s="18">
        <v>8000</v>
      </c>
      <c r="J95" s="15">
        <f t="shared" si="7"/>
        <v>75000</v>
      </c>
    </row>
    <row r="96" spans="1:10" x14ac:dyDescent="0.25">
      <c r="B96" s="124"/>
      <c r="C96" s="23" t="s">
        <v>73</v>
      </c>
      <c r="D96" s="14">
        <v>3</v>
      </c>
      <c r="E96" s="18">
        <v>5000</v>
      </c>
      <c r="F96" s="8">
        <f>D96*E96</f>
        <v>15000</v>
      </c>
      <c r="G96" s="23" t="s">
        <v>53</v>
      </c>
      <c r="H96" s="14">
        <v>5</v>
      </c>
      <c r="I96" s="18">
        <v>2000</v>
      </c>
      <c r="J96" s="15">
        <f>H96*I96</f>
        <v>10000</v>
      </c>
    </row>
    <row r="97" spans="2:12" x14ac:dyDescent="0.25">
      <c r="B97" s="124"/>
      <c r="C97" s="5" t="s">
        <v>8</v>
      </c>
      <c r="D97" s="6">
        <v>10</v>
      </c>
      <c r="E97" s="7">
        <v>90000</v>
      </c>
      <c r="F97" s="8">
        <f>D97*E97</f>
        <v>900000</v>
      </c>
      <c r="G97" s="31" t="s">
        <v>72</v>
      </c>
      <c r="H97" s="19">
        <v>10</v>
      </c>
      <c r="I97" s="18">
        <v>5000</v>
      </c>
      <c r="J97" s="15">
        <f>D95*E95</f>
        <v>25000</v>
      </c>
    </row>
    <row r="98" spans="2:12" x14ac:dyDescent="0.25">
      <c r="B98" s="124"/>
      <c r="C98" s="5"/>
      <c r="D98" s="6"/>
      <c r="E98" s="7"/>
      <c r="F98" s="8"/>
      <c r="G98" s="23"/>
      <c r="H98" s="14"/>
      <c r="I98" s="18"/>
      <c r="J98" s="15"/>
    </row>
    <row r="99" spans="2:12" x14ac:dyDescent="0.25">
      <c r="B99" s="124"/>
      <c r="C99" s="5"/>
      <c r="D99" s="6"/>
      <c r="E99" s="7"/>
      <c r="F99" s="8"/>
      <c r="G99" s="23" t="s">
        <v>55</v>
      </c>
      <c r="H99" s="67">
        <v>1</v>
      </c>
      <c r="I99" s="18">
        <v>194000</v>
      </c>
      <c r="J99" s="15">
        <f t="shared" si="6"/>
        <v>194000</v>
      </c>
    </row>
    <row r="100" spans="2:12" x14ac:dyDescent="0.25">
      <c r="B100" s="124"/>
      <c r="C100" s="5"/>
      <c r="D100" s="6"/>
      <c r="E100" s="7"/>
      <c r="F100" s="8"/>
      <c r="G100" s="23" t="s">
        <v>56</v>
      </c>
      <c r="H100" s="90">
        <v>2</v>
      </c>
      <c r="I100" s="18">
        <v>8667</v>
      </c>
      <c r="J100" s="15">
        <f t="shared" si="6"/>
        <v>17334</v>
      </c>
    </row>
    <row r="101" spans="2:12" x14ac:dyDescent="0.25">
      <c r="B101" s="124"/>
      <c r="C101" s="5"/>
      <c r="D101" s="6"/>
      <c r="E101" s="7"/>
      <c r="F101" s="8"/>
      <c r="G101" s="23" t="s">
        <v>57</v>
      </c>
      <c r="H101" s="90">
        <v>2</v>
      </c>
      <c r="I101" s="18">
        <v>13333</v>
      </c>
      <c r="J101" s="15">
        <f t="shared" si="6"/>
        <v>26666</v>
      </c>
    </row>
    <row r="102" spans="2:12" x14ac:dyDescent="0.25">
      <c r="B102" s="124"/>
      <c r="C102" s="5"/>
      <c r="D102" s="6"/>
      <c r="E102" s="7"/>
      <c r="F102" s="8"/>
      <c r="G102" s="23" t="s">
        <v>67</v>
      </c>
      <c r="H102" s="90">
        <v>1</v>
      </c>
      <c r="I102" s="18">
        <v>42667</v>
      </c>
      <c r="J102" s="15">
        <f t="shared" si="6"/>
        <v>42667</v>
      </c>
    </row>
    <row r="103" spans="2:12" x14ac:dyDescent="0.25">
      <c r="B103" s="124"/>
      <c r="C103" s="5"/>
      <c r="D103" s="6"/>
      <c r="E103" s="7"/>
      <c r="F103" s="8"/>
      <c r="G103" s="23" t="s">
        <v>68</v>
      </c>
      <c r="H103" s="90">
        <v>1</v>
      </c>
      <c r="I103" s="18">
        <v>13333</v>
      </c>
      <c r="J103" s="15">
        <f t="shared" si="6"/>
        <v>13333</v>
      </c>
    </row>
    <row r="104" spans="2:12" x14ac:dyDescent="0.25">
      <c r="B104" s="124"/>
      <c r="C104" s="5"/>
      <c r="D104" s="6"/>
      <c r="E104" s="7"/>
      <c r="F104" s="8"/>
      <c r="G104" s="23" t="s">
        <v>90</v>
      </c>
      <c r="H104" s="90">
        <v>1</v>
      </c>
      <c r="I104" s="18">
        <v>7333</v>
      </c>
      <c r="J104" s="15">
        <f t="shared" si="6"/>
        <v>7333</v>
      </c>
    </row>
    <row r="105" spans="2:12" x14ac:dyDescent="0.25">
      <c r="B105" s="124"/>
      <c r="C105" s="5"/>
      <c r="D105" s="6"/>
      <c r="E105" s="7"/>
      <c r="F105" s="8"/>
      <c r="G105" s="23" t="s">
        <v>82</v>
      </c>
      <c r="H105" s="90">
        <v>1</v>
      </c>
      <c r="I105" s="18">
        <v>12000</v>
      </c>
      <c r="J105" s="15">
        <f t="shared" si="6"/>
        <v>12000</v>
      </c>
    </row>
    <row r="106" spans="2:12" x14ac:dyDescent="0.25">
      <c r="B106" s="124"/>
      <c r="C106" s="5"/>
      <c r="D106" s="6"/>
      <c r="E106" s="7"/>
      <c r="F106" s="8"/>
      <c r="G106" s="23" t="s">
        <v>58</v>
      </c>
      <c r="H106" s="90">
        <v>2</v>
      </c>
      <c r="I106" s="18">
        <v>7333</v>
      </c>
      <c r="J106" s="15">
        <f t="shared" si="6"/>
        <v>14666</v>
      </c>
      <c r="L106">
        <v>29</v>
      </c>
    </row>
    <row r="107" spans="2:12" x14ac:dyDescent="0.25">
      <c r="B107" s="124"/>
      <c r="C107" s="5"/>
      <c r="D107" s="6"/>
      <c r="E107" s="7"/>
      <c r="F107" s="8"/>
      <c r="G107" s="23" t="s">
        <v>91</v>
      </c>
      <c r="H107" s="90">
        <v>2</v>
      </c>
      <c r="I107" s="18">
        <v>18000</v>
      </c>
      <c r="J107" s="15">
        <f t="shared" si="6"/>
        <v>36000</v>
      </c>
    </row>
    <row r="108" spans="2:12" x14ac:dyDescent="0.25">
      <c r="B108" s="124"/>
      <c r="C108" s="5"/>
      <c r="D108" s="6"/>
      <c r="E108" s="7"/>
      <c r="F108" s="8"/>
      <c r="G108" s="23" t="s">
        <v>89</v>
      </c>
      <c r="H108" s="90">
        <v>1</v>
      </c>
      <c r="I108" s="18">
        <v>70000</v>
      </c>
      <c r="J108" s="15">
        <f t="shared" si="6"/>
        <v>70000</v>
      </c>
    </row>
    <row r="109" spans="2:12" x14ac:dyDescent="0.25">
      <c r="B109" s="124"/>
      <c r="C109" s="5"/>
      <c r="D109" s="6"/>
      <c r="E109" s="7"/>
      <c r="F109" s="8"/>
      <c r="G109" s="11" t="s">
        <v>83</v>
      </c>
      <c r="H109" s="79">
        <v>1</v>
      </c>
      <c r="I109" s="18">
        <v>70000</v>
      </c>
      <c r="J109" s="15">
        <f t="shared" si="6"/>
        <v>70000</v>
      </c>
    </row>
    <row r="110" spans="2:12" x14ac:dyDescent="0.25">
      <c r="B110" s="124"/>
      <c r="C110" s="5"/>
      <c r="D110" s="6"/>
      <c r="E110" s="7"/>
      <c r="F110" s="8"/>
      <c r="G110" s="11" t="s">
        <v>84</v>
      </c>
      <c r="H110" s="79">
        <v>1</v>
      </c>
      <c r="I110" s="18">
        <v>12000</v>
      </c>
      <c r="J110" s="15">
        <f t="shared" si="6"/>
        <v>12000</v>
      </c>
    </row>
    <row r="111" spans="2:12" x14ac:dyDescent="0.25">
      <c r="B111" s="124"/>
      <c r="C111" s="5"/>
      <c r="D111" s="6"/>
      <c r="E111" s="7"/>
      <c r="F111" s="8"/>
      <c r="G111" s="23" t="s">
        <v>59</v>
      </c>
      <c r="H111" s="67">
        <v>2</v>
      </c>
      <c r="I111" s="18">
        <v>16000</v>
      </c>
      <c r="J111" s="15">
        <f t="shared" si="6"/>
        <v>32000</v>
      </c>
    </row>
    <row r="112" spans="2:12" x14ac:dyDescent="0.25">
      <c r="B112" s="124"/>
      <c r="C112" s="5"/>
      <c r="D112" s="6"/>
      <c r="E112" s="7"/>
      <c r="F112" s="8"/>
      <c r="G112" s="23" t="s">
        <v>60</v>
      </c>
      <c r="H112" s="67">
        <v>1</v>
      </c>
      <c r="I112" s="18">
        <v>40000</v>
      </c>
      <c r="J112" s="15">
        <f t="shared" si="6"/>
        <v>40000</v>
      </c>
    </row>
    <row r="113" spans="2:10" x14ac:dyDescent="0.25">
      <c r="B113" s="124"/>
      <c r="C113" s="11"/>
      <c r="D113" s="11"/>
      <c r="E113" s="11"/>
      <c r="F113" s="8"/>
      <c r="G113" s="11" t="s">
        <v>61</v>
      </c>
      <c r="H113" s="91">
        <v>3</v>
      </c>
      <c r="I113" s="18">
        <v>42000</v>
      </c>
      <c r="J113" s="15">
        <f t="shared" si="6"/>
        <v>126000</v>
      </c>
    </row>
    <row r="114" spans="2:10" x14ac:dyDescent="0.25">
      <c r="B114" s="24"/>
      <c r="C114" s="11"/>
      <c r="D114" s="11"/>
      <c r="E114" s="11"/>
      <c r="F114" s="8"/>
      <c r="G114" s="11" t="s">
        <v>62</v>
      </c>
      <c r="H114" s="91">
        <v>1</v>
      </c>
      <c r="I114" s="18">
        <v>40000</v>
      </c>
      <c r="J114" s="15">
        <f t="shared" si="6"/>
        <v>40000</v>
      </c>
    </row>
    <row r="115" spans="2:10" x14ac:dyDescent="0.25">
      <c r="B115" s="24"/>
      <c r="C115" s="11"/>
      <c r="D115" s="11"/>
      <c r="E115" s="11"/>
      <c r="F115" s="8"/>
      <c r="G115" s="11" t="s">
        <v>87</v>
      </c>
      <c r="H115" s="91">
        <v>1</v>
      </c>
      <c r="I115" s="18">
        <v>80000</v>
      </c>
      <c r="J115" s="15">
        <f t="shared" si="6"/>
        <v>80000</v>
      </c>
    </row>
    <row r="116" spans="2:10" x14ac:dyDescent="0.25">
      <c r="B116" s="24"/>
      <c r="C116" s="11"/>
      <c r="D116" s="11"/>
      <c r="E116" s="11"/>
      <c r="F116" s="8"/>
      <c r="G116" s="11" t="s">
        <v>63</v>
      </c>
      <c r="H116" s="91">
        <v>1</v>
      </c>
      <c r="I116" s="18">
        <v>70000</v>
      </c>
      <c r="J116" s="15">
        <f t="shared" si="6"/>
        <v>70000</v>
      </c>
    </row>
    <row r="117" spans="2:10" x14ac:dyDescent="0.25">
      <c r="B117" s="24"/>
      <c r="C117" s="74"/>
      <c r="D117" s="74"/>
      <c r="E117" s="74"/>
      <c r="F117" s="8"/>
      <c r="G117" s="11" t="s">
        <v>338</v>
      </c>
      <c r="H117" s="91">
        <v>2</v>
      </c>
      <c r="I117" s="18">
        <v>40000</v>
      </c>
      <c r="J117" s="15">
        <f t="shared" si="6"/>
        <v>80000</v>
      </c>
    </row>
    <row r="118" spans="2:10" x14ac:dyDescent="0.25">
      <c r="B118" s="24"/>
      <c r="C118" s="74"/>
      <c r="D118" s="74"/>
      <c r="E118" s="74"/>
      <c r="F118" s="8"/>
      <c r="G118" s="11" t="s">
        <v>85</v>
      </c>
      <c r="H118" s="91">
        <v>2</v>
      </c>
      <c r="I118" s="18">
        <v>50000</v>
      </c>
      <c r="J118" s="15">
        <f t="shared" si="6"/>
        <v>100000</v>
      </c>
    </row>
    <row r="119" spans="2:10" x14ac:dyDescent="0.25">
      <c r="B119" s="24"/>
      <c r="C119" s="74"/>
      <c r="D119" s="74"/>
      <c r="E119" s="74"/>
      <c r="F119" s="8"/>
      <c r="G119" s="11" t="s">
        <v>339</v>
      </c>
      <c r="H119" s="6"/>
      <c r="I119" s="18"/>
      <c r="J119" s="15"/>
    </row>
    <row r="120" spans="2:10" x14ac:dyDescent="0.25">
      <c r="B120" s="113" t="s">
        <v>12</v>
      </c>
      <c r="C120" s="113"/>
      <c r="D120" s="113"/>
      <c r="E120" s="113"/>
      <c r="F120" s="114">
        <f>SUM(F88:F113)</f>
        <v>2024000</v>
      </c>
      <c r="G120" s="115" t="s">
        <v>12</v>
      </c>
      <c r="H120" s="115"/>
      <c r="I120" s="115"/>
      <c r="J120" s="116">
        <f>SUM(J88:J119)</f>
        <v>1658999</v>
      </c>
    </row>
    <row r="121" spans="2:10" ht="15.75" thickBot="1" x14ac:dyDescent="0.3">
      <c r="B121" s="113"/>
      <c r="C121" s="113"/>
      <c r="D121" s="113"/>
      <c r="E121" s="113"/>
      <c r="F121" s="114"/>
      <c r="G121" s="115"/>
      <c r="H121" s="115"/>
      <c r="I121" s="115"/>
      <c r="J121" s="116"/>
    </row>
    <row r="122" spans="2:10" x14ac:dyDescent="0.25">
      <c r="B122" s="121" t="s">
        <v>341</v>
      </c>
      <c r="C122" s="121"/>
      <c r="D122" s="121"/>
      <c r="E122" s="121"/>
      <c r="F122" s="121"/>
      <c r="G122" s="121"/>
      <c r="H122" s="121"/>
      <c r="I122" s="121"/>
      <c r="J122" s="121"/>
    </row>
    <row r="123" spans="2:10" x14ac:dyDescent="0.25">
      <c r="B123" s="122" t="s">
        <v>0</v>
      </c>
      <c r="C123" s="123" t="s">
        <v>1</v>
      </c>
      <c r="D123" s="123"/>
      <c r="E123" s="123"/>
      <c r="F123" s="123"/>
      <c r="G123" s="112" t="s">
        <v>2</v>
      </c>
      <c r="H123" s="112"/>
      <c r="I123" s="112"/>
      <c r="J123" s="112"/>
    </row>
    <row r="124" spans="2:10" x14ac:dyDescent="0.25">
      <c r="B124" s="122"/>
      <c r="C124" s="2" t="s">
        <v>3</v>
      </c>
      <c r="D124" s="3" t="s">
        <v>4</v>
      </c>
      <c r="E124" s="3" t="s">
        <v>5</v>
      </c>
      <c r="F124" s="3" t="s">
        <v>6</v>
      </c>
      <c r="G124" s="2" t="s">
        <v>3</v>
      </c>
      <c r="H124" s="3" t="s">
        <v>4</v>
      </c>
      <c r="I124" s="3" t="s">
        <v>5</v>
      </c>
      <c r="J124" s="4" t="s">
        <v>6</v>
      </c>
    </row>
    <row r="125" spans="2:10" x14ac:dyDescent="0.25">
      <c r="B125" s="24"/>
      <c r="C125" s="74"/>
      <c r="D125" s="74"/>
      <c r="E125" s="74"/>
      <c r="F125" s="8"/>
      <c r="G125" s="11" t="str">
        <f>General!A141</f>
        <v>Malla Plastica verde X 30 Mts 2,10 ALTO</v>
      </c>
      <c r="H125" s="91">
        <v>1</v>
      </c>
      <c r="I125" s="18">
        <v>350000</v>
      </c>
      <c r="J125" s="15">
        <f>H125*I125</f>
        <v>350000</v>
      </c>
    </row>
    <row r="126" spans="2:10" x14ac:dyDescent="0.25">
      <c r="B126" s="24"/>
      <c r="C126" s="74"/>
      <c r="D126" s="74"/>
      <c r="E126" s="74"/>
      <c r="F126" s="8"/>
      <c r="G126" s="11" t="s">
        <v>369</v>
      </c>
      <c r="H126" s="91">
        <v>18</v>
      </c>
      <c r="I126" s="18">
        <v>24500</v>
      </c>
      <c r="J126" s="15">
        <f>H126*I126</f>
        <v>441000</v>
      </c>
    </row>
    <row r="127" spans="2:10" x14ac:dyDescent="0.25">
      <c r="B127" s="24"/>
      <c r="C127" s="74"/>
      <c r="D127" s="74"/>
      <c r="E127" s="74"/>
      <c r="F127" s="8"/>
      <c r="G127" s="11" t="str">
        <f>General!A188</f>
        <v xml:space="preserve">Polisombra Marca Rachell al 80% x Metro </v>
      </c>
      <c r="H127" s="91">
        <v>24</v>
      </c>
      <c r="I127" s="18">
        <v>6000</v>
      </c>
      <c r="J127" s="15">
        <f t="shared" ref="J127:J135" si="8">H127*I127</f>
        <v>144000</v>
      </c>
    </row>
    <row r="128" spans="2:10" x14ac:dyDescent="0.25">
      <c r="B128" s="24"/>
      <c r="C128" s="74"/>
      <c r="D128" s="74"/>
      <c r="E128" s="74"/>
      <c r="F128" s="8"/>
      <c r="G128" s="11" t="str">
        <f>General!A286</f>
        <v>Varilla Tornillo ⅜ x Unidad</v>
      </c>
      <c r="H128" s="91">
        <v>5</v>
      </c>
      <c r="I128" s="18">
        <v>4500</v>
      </c>
      <c r="J128" s="15">
        <f t="shared" si="8"/>
        <v>22500</v>
      </c>
    </row>
    <row r="129" spans="2:12" x14ac:dyDescent="0.25">
      <c r="B129" s="24"/>
      <c r="C129" s="74"/>
      <c r="D129" s="74"/>
      <c r="E129" s="74"/>
      <c r="F129" s="8"/>
      <c r="G129" s="11" t="str">
        <f>General!A282</f>
        <v>Tuerca para Tornillo ⅜ x Unidad</v>
      </c>
      <c r="H129" s="91">
        <v>30</v>
      </c>
      <c r="I129" s="18">
        <v>250</v>
      </c>
      <c r="J129" s="15">
        <f t="shared" si="8"/>
        <v>7500</v>
      </c>
    </row>
    <row r="130" spans="2:12" x14ac:dyDescent="0.25">
      <c r="B130" s="24"/>
      <c r="C130" s="74"/>
      <c r="D130" s="74"/>
      <c r="E130" s="74"/>
      <c r="F130" s="8"/>
      <c r="G130" s="11" t="str">
        <f>General!A284</f>
        <v>Arandela para Tornillo ⅜ x Unidad</v>
      </c>
      <c r="H130" s="91">
        <v>30</v>
      </c>
      <c r="I130" s="18">
        <v>250</v>
      </c>
      <c r="J130" s="15">
        <f t="shared" si="8"/>
        <v>7500</v>
      </c>
      <c r="L130">
        <v>111</v>
      </c>
    </row>
    <row r="131" spans="2:12" x14ac:dyDescent="0.25">
      <c r="B131" s="24"/>
      <c r="C131" s="74"/>
      <c r="D131" s="74"/>
      <c r="E131" s="74"/>
      <c r="F131" s="8"/>
      <c r="G131" s="11" t="str" cm="1">
        <f t="array" ref="G131:G132">General!A144:A145</f>
        <v>Manguera PP 1 1/2" X 100 metros economica</v>
      </c>
      <c r="H131" s="91">
        <v>1</v>
      </c>
      <c r="I131" s="18">
        <v>90000</v>
      </c>
      <c r="J131" s="15">
        <f t="shared" si="8"/>
        <v>90000</v>
      </c>
    </row>
    <row r="132" spans="2:12" x14ac:dyDescent="0.25">
      <c r="B132" s="24"/>
      <c r="C132" s="74"/>
      <c r="D132" s="74"/>
      <c r="E132" s="74"/>
      <c r="F132" s="8"/>
      <c r="G132" s="11" t="str">
        <v>Manguera PP 1/2" X 100 metros economica</v>
      </c>
      <c r="H132" s="91">
        <v>1</v>
      </c>
      <c r="I132" s="18">
        <v>80000</v>
      </c>
      <c r="J132" s="15">
        <f t="shared" si="8"/>
        <v>80000</v>
      </c>
    </row>
    <row r="133" spans="2:12" ht="15.75" x14ac:dyDescent="0.25">
      <c r="B133" s="24"/>
      <c r="C133" s="74"/>
      <c r="D133" s="74"/>
      <c r="E133" s="74"/>
      <c r="F133" s="8"/>
      <c r="G133" s="68" t="s">
        <v>363</v>
      </c>
      <c r="H133" s="91">
        <v>1</v>
      </c>
      <c r="I133" s="18">
        <v>80000</v>
      </c>
      <c r="J133" s="15">
        <f t="shared" si="8"/>
        <v>80000</v>
      </c>
    </row>
    <row r="134" spans="2:12" x14ac:dyDescent="0.25">
      <c r="B134" s="24"/>
      <c r="C134" s="74"/>
      <c r="D134" s="74"/>
      <c r="E134" s="74"/>
      <c r="F134" s="8"/>
      <c r="G134" s="11"/>
      <c r="H134" s="6"/>
      <c r="I134" s="18"/>
      <c r="J134" s="15">
        <f t="shared" si="8"/>
        <v>0</v>
      </c>
    </row>
    <row r="135" spans="2:12" x14ac:dyDescent="0.25">
      <c r="B135" s="24"/>
      <c r="C135" s="74"/>
      <c r="D135" s="74"/>
      <c r="E135" s="74"/>
      <c r="F135" s="8"/>
      <c r="G135" s="11"/>
      <c r="H135" s="6"/>
      <c r="I135" s="18"/>
      <c r="J135" s="15">
        <f t="shared" si="8"/>
        <v>0</v>
      </c>
    </row>
    <row r="136" spans="2:12" x14ac:dyDescent="0.25">
      <c r="B136" s="113" t="s">
        <v>12</v>
      </c>
      <c r="C136" s="113"/>
      <c r="D136" s="113"/>
      <c r="E136" s="113"/>
      <c r="F136" s="114">
        <f>SUM(F103:F129)</f>
        <v>2024000</v>
      </c>
      <c r="G136" s="115" t="s">
        <v>12</v>
      </c>
      <c r="H136" s="115"/>
      <c r="I136" s="115"/>
      <c r="J136" s="116">
        <f>SUM(J125:J135)</f>
        <v>1222500</v>
      </c>
    </row>
    <row r="137" spans="2:12" x14ac:dyDescent="0.25">
      <c r="B137" s="113"/>
      <c r="C137" s="113"/>
      <c r="D137" s="113"/>
      <c r="E137" s="113"/>
      <c r="F137" s="114"/>
      <c r="G137" s="115"/>
      <c r="H137" s="115"/>
      <c r="I137" s="115"/>
      <c r="J137" s="116"/>
    </row>
    <row r="138" spans="2:12" ht="15.75" thickBot="1" x14ac:dyDescent="0.3">
      <c r="B138" s="117" t="s">
        <v>64</v>
      </c>
      <c r="C138" s="117"/>
      <c r="D138" s="117"/>
      <c r="E138" s="117"/>
      <c r="F138" s="118">
        <f>SUM(F120+F83+F64+F24)</f>
        <v>11124000</v>
      </c>
      <c r="G138" s="119" t="s">
        <v>64</v>
      </c>
      <c r="H138" s="119"/>
      <c r="I138" s="119"/>
      <c r="J138" s="120">
        <f>SUM(J120+J83+J24+J64+J136)</f>
        <v>16960622</v>
      </c>
    </row>
    <row r="139" spans="2:12" ht="15.75" thickBot="1" x14ac:dyDescent="0.3">
      <c r="B139" s="117"/>
      <c r="C139" s="117"/>
      <c r="D139" s="117"/>
      <c r="E139" s="117"/>
      <c r="F139" s="118"/>
      <c r="G139" s="119"/>
      <c r="H139" s="119"/>
      <c r="I139" s="119"/>
      <c r="J139" s="120"/>
      <c r="L139">
        <f>L130+L106+L52+L15</f>
        <v>421</v>
      </c>
    </row>
  </sheetData>
  <mergeCells count="49">
    <mergeCell ref="B26:J26"/>
    <mergeCell ref="B1:J6"/>
    <mergeCell ref="B7:J7"/>
    <mergeCell ref="B8:J8"/>
    <mergeCell ref="B9:B10"/>
    <mergeCell ref="C9:F9"/>
    <mergeCell ref="G9:J9"/>
    <mergeCell ref="B11:B23"/>
    <mergeCell ref="B24:E25"/>
    <mergeCell ref="F24:F25"/>
    <mergeCell ref="G24:I25"/>
    <mergeCell ref="J24:J25"/>
    <mergeCell ref="B27:B28"/>
    <mergeCell ref="C27:F27"/>
    <mergeCell ref="G27:J27"/>
    <mergeCell ref="B29:B63"/>
    <mergeCell ref="B64:E65"/>
    <mergeCell ref="F64:F65"/>
    <mergeCell ref="G64:I65"/>
    <mergeCell ref="J64:J65"/>
    <mergeCell ref="B66:J66"/>
    <mergeCell ref="B67:B68"/>
    <mergeCell ref="C67:F67"/>
    <mergeCell ref="G67:J67"/>
    <mergeCell ref="B83:E84"/>
    <mergeCell ref="F83:F84"/>
    <mergeCell ref="G83:I84"/>
    <mergeCell ref="J83:J84"/>
    <mergeCell ref="B138:E139"/>
    <mergeCell ref="F138:F139"/>
    <mergeCell ref="G138:I139"/>
    <mergeCell ref="J138:J139"/>
    <mergeCell ref="B85:J85"/>
    <mergeCell ref="B86:B87"/>
    <mergeCell ref="C86:F86"/>
    <mergeCell ref="G86:J86"/>
    <mergeCell ref="B88:B113"/>
    <mergeCell ref="B120:E121"/>
    <mergeCell ref="F120:F121"/>
    <mergeCell ref="G120:I121"/>
    <mergeCell ref="J120:J121"/>
    <mergeCell ref="B122:J122"/>
    <mergeCell ref="B123:B124"/>
    <mergeCell ref="C123:F123"/>
    <mergeCell ref="G123:J123"/>
    <mergeCell ref="B136:E137"/>
    <mergeCell ref="F136:F137"/>
    <mergeCell ref="G136:I137"/>
    <mergeCell ref="J136:J1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D4F5-2CA1-4999-9F83-CDBAA36B48AE}">
  <dimension ref="A1:L118"/>
  <sheetViews>
    <sheetView topLeftCell="B6" workbookViewId="0">
      <selection activeCell="G14" sqref="G14"/>
    </sheetView>
  </sheetViews>
  <sheetFormatPr baseColWidth="10" defaultColWidth="10.5703125" defaultRowHeight="15" x14ac:dyDescent="0.25"/>
  <cols>
    <col min="2" max="2" width="20.28515625" customWidth="1"/>
    <col min="3" max="3" width="24.85546875" customWidth="1"/>
    <col min="5" max="5" width="13.140625" customWidth="1"/>
    <col min="6" max="6" width="14.28515625" customWidth="1"/>
    <col min="7" max="7" width="42.7109375" bestFit="1" customWidth="1"/>
    <col min="9" max="9" width="12" customWidth="1"/>
    <col min="10" max="10" width="16.5703125" customWidth="1"/>
  </cols>
  <sheetData>
    <row r="1" spans="2:12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2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2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2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2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2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</row>
    <row r="7" spans="2:12" ht="15.75" thickBot="1" x14ac:dyDescent="0.3">
      <c r="B7" s="127" t="s">
        <v>404</v>
      </c>
      <c r="C7" s="127"/>
      <c r="D7" s="127"/>
      <c r="E7" s="127"/>
      <c r="F7" s="127"/>
      <c r="G7" s="127"/>
      <c r="H7" s="127"/>
      <c r="I7" s="127"/>
      <c r="J7" s="127"/>
    </row>
    <row r="8" spans="2:12" ht="31.5" customHeight="1" x14ac:dyDescent="0.25">
      <c r="B8" s="121" t="s">
        <v>407</v>
      </c>
      <c r="C8" s="121"/>
      <c r="D8" s="121"/>
      <c r="E8" s="121"/>
      <c r="F8" s="121"/>
      <c r="G8" s="121"/>
      <c r="H8" s="121"/>
      <c r="I8" s="121"/>
      <c r="J8" s="121"/>
    </row>
    <row r="9" spans="2:12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2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</row>
    <row r="11" spans="2:12" ht="30" x14ac:dyDescent="0.25">
      <c r="B11" s="124"/>
      <c r="C11" s="5" t="s">
        <v>75</v>
      </c>
      <c r="D11" s="26">
        <v>400</v>
      </c>
      <c r="E11" s="7">
        <v>25000</v>
      </c>
      <c r="F11" s="8">
        <f>D11*E11</f>
        <v>10000000</v>
      </c>
      <c r="G11" s="9" t="s">
        <v>7</v>
      </c>
      <c r="H11" s="19">
        <v>15</v>
      </c>
      <c r="I11" s="32">
        <v>270000</v>
      </c>
      <c r="J11" s="10">
        <f t="shared" ref="J11:J17" si="0">H11*I11</f>
        <v>4050000</v>
      </c>
      <c r="K11" s="33"/>
    </row>
    <row r="12" spans="2:12" x14ac:dyDescent="0.25">
      <c r="B12" s="124"/>
      <c r="C12" s="11"/>
      <c r="D12" s="25"/>
      <c r="E12" s="13"/>
      <c r="F12" s="8"/>
      <c r="G12" s="9" t="s">
        <v>9</v>
      </c>
      <c r="H12" s="19">
        <v>4</v>
      </c>
      <c r="I12" s="27">
        <v>35000</v>
      </c>
      <c r="J12" s="15">
        <f t="shared" si="0"/>
        <v>140000</v>
      </c>
    </row>
    <row r="13" spans="2:12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19">
        <v>70</v>
      </c>
      <c r="I13" s="27">
        <v>5000</v>
      </c>
      <c r="J13" s="15">
        <f t="shared" si="0"/>
        <v>350000</v>
      </c>
      <c r="K13" s="33">
        <v>1600</v>
      </c>
    </row>
    <row r="14" spans="2:12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19">
        <v>2</v>
      </c>
      <c r="I14" s="27">
        <v>60000</v>
      </c>
      <c r="J14" s="15">
        <f t="shared" si="0"/>
        <v>120000</v>
      </c>
    </row>
    <row r="15" spans="2:12" x14ac:dyDescent="0.25">
      <c r="B15" s="124"/>
      <c r="C15" s="5"/>
      <c r="D15" s="6"/>
      <c r="E15" s="7"/>
      <c r="F15" s="8"/>
      <c r="G15" s="16" t="s">
        <v>65</v>
      </c>
      <c r="H15" s="19">
        <v>5</v>
      </c>
      <c r="I15" s="27">
        <v>38000</v>
      </c>
      <c r="J15" s="15">
        <f t="shared" si="0"/>
        <v>190000</v>
      </c>
      <c r="L15">
        <v>151</v>
      </c>
    </row>
    <row r="16" spans="2:12" x14ac:dyDescent="0.25">
      <c r="B16" s="124"/>
      <c r="C16" s="5"/>
      <c r="D16" s="6"/>
      <c r="E16" s="7"/>
      <c r="F16" s="8"/>
      <c r="G16" s="17" t="s">
        <v>66</v>
      </c>
      <c r="H16" s="19">
        <v>5</v>
      </c>
      <c r="I16" s="28">
        <v>6000</v>
      </c>
      <c r="J16" s="15">
        <f t="shared" si="0"/>
        <v>30000</v>
      </c>
    </row>
    <row r="17" spans="2:10" ht="15.75" x14ac:dyDescent="0.25">
      <c r="B17" s="124"/>
      <c r="C17" s="5"/>
      <c r="D17" s="6"/>
      <c r="E17" s="7"/>
      <c r="F17" s="8"/>
      <c r="G17" s="68"/>
      <c r="H17" s="14"/>
      <c r="I17" s="28"/>
      <c r="J17" s="15">
        <f t="shared" si="0"/>
        <v>0</v>
      </c>
    </row>
    <row r="18" spans="2:10" x14ac:dyDescent="0.25">
      <c r="B18" s="113" t="s">
        <v>12</v>
      </c>
      <c r="C18" s="113"/>
      <c r="D18" s="113"/>
      <c r="E18" s="113"/>
      <c r="F18" s="114">
        <f>SUM(F11:F17)</f>
        <v>10000000</v>
      </c>
      <c r="G18" s="115" t="s">
        <v>12</v>
      </c>
      <c r="H18" s="115"/>
      <c r="I18" s="115"/>
      <c r="J18" s="116">
        <f>SUM(J11:J17)</f>
        <v>4880000</v>
      </c>
    </row>
    <row r="19" spans="2:10" ht="15.75" thickBot="1" x14ac:dyDescent="0.3">
      <c r="B19" s="113"/>
      <c r="C19" s="113"/>
      <c r="D19" s="113"/>
      <c r="E19" s="113"/>
      <c r="F19" s="114"/>
      <c r="G19" s="115"/>
      <c r="H19" s="115"/>
      <c r="I19" s="115"/>
      <c r="J19" s="116"/>
    </row>
    <row r="20" spans="2:10" ht="15" customHeight="1" x14ac:dyDescent="0.25">
      <c r="B20" s="121" t="s">
        <v>324</v>
      </c>
      <c r="C20" s="121"/>
      <c r="D20" s="121"/>
      <c r="E20" s="121"/>
      <c r="F20" s="121"/>
      <c r="G20" s="121"/>
      <c r="H20" s="121"/>
      <c r="I20" s="121"/>
      <c r="J20" s="121"/>
    </row>
    <row r="21" spans="2:10" x14ac:dyDescent="0.25">
      <c r="B21" s="122" t="s">
        <v>0</v>
      </c>
      <c r="C21" s="123" t="s">
        <v>1</v>
      </c>
      <c r="D21" s="123"/>
      <c r="E21" s="123"/>
      <c r="F21" s="123"/>
      <c r="G21" s="112" t="s">
        <v>2</v>
      </c>
      <c r="H21" s="112"/>
      <c r="I21" s="112"/>
      <c r="J21" s="112"/>
    </row>
    <row r="22" spans="2:10" x14ac:dyDescent="0.25">
      <c r="B22" s="122"/>
      <c r="C22" s="2" t="s">
        <v>3</v>
      </c>
      <c r="D22" s="3" t="s">
        <v>4</v>
      </c>
      <c r="E22" s="3" t="s">
        <v>5</v>
      </c>
      <c r="F22" s="3" t="s">
        <v>6</v>
      </c>
      <c r="G22" s="2" t="s">
        <v>3</v>
      </c>
      <c r="H22" s="3" t="s">
        <v>4</v>
      </c>
      <c r="I22" s="3" t="s">
        <v>5</v>
      </c>
      <c r="J22" s="4" t="s">
        <v>6</v>
      </c>
    </row>
    <row r="23" spans="2:10" ht="30" customHeight="1" x14ac:dyDescent="0.25">
      <c r="B23" s="125" t="s">
        <v>13</v>
      </c>
      <c r="C23" s="5" t="s">
        <v>14</v>
      </c>
      <c r="D23" s="6">
        <v>1</v>
      </c>
      <c r="E23" s="7">
        <v>2000000</v>
      </c>
      <c r="F23" s="8">
        <f t="shared" ref="F23:F47" si="1">D23*E23</f>
        <v>2000000</v>
      </c>
      <c r="G23" s="9" t="s">
        <v>15</v>
      </c>
      <c r="H23" s="93">
        <v>1</v>
      </c>
      <c r="I23" s="7">
        <v>1088000</v>
      </c>
      <c r="J23" s="15">
        <f t="shared" ref="J23:J58" si="2">H23*I23</f>
        <v>1088000</v>
      </c>
    </row>
    <row r="24" spans="2:10" x14ac:dyDescent="0.25">
      <c r="B24" s="125"/>
      <c r="C24" s="11" t="s">
        <v>8</v>
      </c>
      <c r="D24" s="12">
        <v>10</v>
      </c>
      <c r="E24" s="13">
        <v>90000</v>
      </c>
      <c r="F24" s="8">
        <f t="shared" si="1"/>
        <v>900000</v>
      </c>
      <c r="G24" s="17" t="s">
        <v>16</v>
      </c>
      <c r="H24" s="14">
        <v>1</v>
      </c>
      <c r="I24" s="18">
        <v>35000</v>
      </c>
      <c r="J24" s="15">
        <f t="shared" si="2"/>
        <v>35000</v>
      </c>
    </row>
    <row r="25" spans="2:10" x14ac:dyDescent="0.25">
      <c r="B25" s="125"/>
      <c r="C25" s="11"/>
      <c r="D25" s="12"/>
      <c r="E25" s="13"/>
      <c r="F25" s="8"/>
      <c r="G25" s="17" t="s">
        <v>86</v>
      </c>
      <c r="H25" s="14">
        <v>2</v>
      </c>
      <c r="I25" s="18">
        <v>45000</v>
      </c>
      <c r="J25" s="15">
        <f t="shared" si="2"/>
        <v>90000</v>
      </c>
    </row>
    <row r="26" spans="2:10" ht="41.25" customHeight="1" x14ac:dyDescent="0.25">
      <c r="B26" s="125"/>
      <c r="C26" s="95" t="s">
        <v>408</v>
      </c>
      <c r="D26" s="12">
        <v>50</v>
      </c>
      <c r="E26" s="13"/>
      <c r="F26" s="8"/>
      <c r="G26" s="17"/>
      <c r="H26" s="14"/>
      <c r="I26" s="18"/>
      <c r="J26" s="15"/>
    </row>
    <row r="27" spans="2:10" x14ac:dyDescent="0.25">
      <c r="B27" s="125"/>
      <c r="C27" s="5" t="s">
        <v>77</v>
      </c>
      <c r="D27" s="6">
        <v>50</v>
      </c>
      <c r="E27" s="7">
        <v>3000</v>
      </c>
      <c r="F27" s="8">
        <f t="shared" si="1"/>
        <v>150000</v>
      </c>
      <c r="G27" s="17" t="s">
        <v>17</v>
      </c>
      <c r="H27" s="14">
        <v>1</v>
      </c>
      <c r="I27" s="18">
        <v>1333</v>
      </c>
      <c r="J27" s="15">
        <f t="shared" si="2"/>
        <v>1333</v>
      </c>
    </row>
    <row r="28" spans="2:10" ht="15" customHeight="1" x14ac:dyDescent="0.25">
      <c r="B28" s="125"/>
      <c r="C28" s="11" t="s">
        <v>340</v>
      </c>
      <c r="D28" s="11">
        <v>1</v>
      </c>
      <c r="E28" s="8">
        <v>300000</v>
      </c>
      <c r="F28" s="8">
        <f t="shared" si="1"/>
        <v>300000</v>
      </c>
      <c r="G28" s="17" t="s">
        <v>18</v>
      </c>
      <c r="H28" s="14">
        <v>2</v>
      </c>
      <c r="I28" s="18">
        <v>32000</v>
      </c>
      <c r="J28" s="15">
        <f t="shared" si="2"/>
        <v>64000</v>
      </c>
    </row>
    <row r="29" spans="2:10" ht="15" customHeight="1" x14ac:dyDescent="0.25">
      <c r="B29" s="125"/>
      <c r="C29" s="11"/>
      <c r="D29" s="11"/>
      <c r="E29" s="11"/>
      <c r="F29" s="8"/>
      <c r="G29" s="17" t="s">
        <v>325</v>
      </c>
      <c r="H29" s="14">
        <v>1</v>
      </c>
      <c r="I29" s="18">
        <v>40000</v>
      </c>
      <c r="J29" s="15">
        <f t="shared" si="2"/>
        <v>40000</v>
      </c>
    </row>
    <row r="30" spans="2:10" x14ac:dyDescent="0.25">
      <c r="B30" s="125"/>
      <c r="C30" s="5"/>
      <c r="D30" s="6"/>
      <c r="E30" s="7"/>
      <c r="F30" s="8">
        <f t="shared" si="1"/>
        <v>0</v>
      </c>
      <c r="G30" s="17" t="s">
        <v>19</v>
      </c>
      <c r="H30" s="14">
        <v>1</v>
      </c>
      <c r="I30" s="18">
        <v>11000</v>
      </c>
      <c r="J30" s="15">
        <f t="shared" si="2"/>
        <v>11000</v>
      </c>
    </row>
    <row r="31" spans="2:10" x14ac:dyDescent="0.25">
      <c r="B31" s="125"/>
      <c r="C31" s="5"/>
      <c r="D31" s="6"/>
      <c r="E31" s="7"/>
      <c r="F31" s="8"/>
      <c r="G31" s="17" t="s">
        <v>88</v>
      </c>
      <c r="H31" s="14">
        <v>2</v>
      </c>
      <c r="I31" s="18">
        <v>13000</v>
      </c>
      <c r="J31" s="15">
        <f t="shared" si="2"/>
        <v>26000</v>
      </c>
    </row>
    <row r="32" spans="2:10" x14ac:dyDescent="0.25">
      <c r="B32" s="125"/>
      <c r="C32" s="5"/>
      <c r="D32" s="6"/>
      <c r="E32" s="7"/>
      <c r="F32" s="8"/>
      <c r="G32" s="17" t="s">
        <v>403</v>
      </c>
      <c r="H32" s="14">
        <v>3</v>
      </c>
      <c r="I32" s="18">
        <v>5900</v>
      </c>
      <c r="J32" s="15">
        <f t="shared" si="2"/>
        <v>17700</v>
      </c>
    </row>
    <row r="33" spans="2:12" x14ac:dyDescent="0.25">
      <c r="B33" s="125"/>
      <c r="C33" s="5"/>
      <c r="D33" s="6"/>
      <c r="E33" s="7"/>
      <c r="F33" s="8">
        <f t="shared" si="1"/>
        <v>0</v>
      </c>
      <c r="G33" s="17" t="s">
        <v>20</v>
      </c>
      <c r="H33" s="14">
        <v>2</v>
      </c>
      <c r="I33" s="18">
        <v>2000</v>
      </c>
      <c r="J33" s="15">
        <f t="shared" si="2"/>
        <v>4000</v>
      </c>
    </row>
    <row r="34" spans="2:12" x14ac:dyDescent="0.25">
      <c r="B34" s="125"/>
      <c r="C34" s="5"/>
      <c r="D34" s="6"/>
      <c r="E34" s="7"/>
      <c r="F34" s="8"/>
      <c r="G34" s="17" t="s">
        <v>79</v>
      </c>
      <c r="H34" s="14">
        <v>5</v>
      </c>
      <c r="I34" s="18">
        <v>5000</v>
      </c>
      <c r="J34" s="15">
        <f t="shared" si="2"/>
        <v>25000</v>
      </c>
    </row>
    <row r="35" spans="2:12" x14ac:dyDescent="0.25">
      <c r="B35" s="125"/>
      <c r="C35" s="5"/>
      <c r="D35" s="6"/>
      <c r="E35" s="7"/>
      <c r="F35" s="8">
        <f t="shared" si="1"/>
        <v>0</v>
      </c>
      <c r="G35" s="17" t="s">
        <v>21</v>
      </c>
      <c r="H35" s="14">
        <v>2</v>
      </c>
      <c r="I35" s="18">
        <v>1333</v>
      </c>
      <c r="J35" s="15">
        <f t="shared" si="2"/>
        <v>2666</v>
      </c>
    </row>
    <row r="36" spans="2:12" x14ac:dyDescent="0.25">
      <c r="B36" s="125"/>
      <c r="C36" s="5"/>
      <c r="D36" s="6"/>
      <c r="E36" s="7"/>
      <c r="F36" s="8">
        <f t="shared" si="1"/>
        <v>0</v>
      </c>
      <c r="G36" s="17" t="s">
        <v>22</v>
      </c>
      <c r="H36" s="19">
        <v>10</v>
      </c>
      <c r="I36" s="18">
        <v>4000</v>
      </c>
      <c r="J36" s="15">
        <f t="shared" si="2"/>
        <v>40000</v>
      </c>
    </row>
    <row r="37" spans="2:12" x14ac:dyDescent="0.25">
      <c r="B37" s="125"/>
      <c r="C37" s="5"/>
      <c r="D37" s="6"/>
      <c r="E37" s="7"/>
      <c r="F37" s="8"/>
      <c r="G37" s="17" t="s">
        <v>69</v>
      </c>
      <c r="H37" s="19">
        <v>3</v>
      </c>
      <c r="I37" s="18">
        <v>3000</v>
      </c>
      <c r="J37" s="15">
        <f t="shared" si="2"/>
        <v>9000</v>
      </c>
    </row>
    <row r="38" spans="2:12" x14ac:dyDescent="0.25">
      <c r="B38" s="125"/>
      <c r="C38" s="5"/>
      <c r="D38" s="6"/>
      <c r="E38" s="7"/>
      <c r="F38" s="8"/>
      <c r="G38" s="17" t="s">
        <v>23</v>
      </c>
      <c r="H38" s="14">
        <v>6</v>
      </c>
      <c r="I38" s="18">
        <v>2000</v>
      </c>
      <c r="J38" s="15">
        <f t="shared" si="2"/>
        <v>12000</v>
      </c>
    </row>
    <row r="39" spans="2:12" ht="15.75" x14ac:dyDescent="0.25">
      <c r="B39" s="125"/>
      <c r="C39" s="5"/>
      <c r="D39" s="6"/>
      <c r="E39" s="7"/>
      <c r="F39" s="8"/>
      <c r="G39" s="92" t="s">
        <v>358</v>
      </c>
      <c r="H39" s="14">
        <v>3</v>
      </c>
      <c r="I39" s="18"/>
      <c r="J39" s="15"/>
    </row>
    <row r="40" spans="2:12" ht="30" x14ac:dyDescent="0.25">
      <c r="B40" s="125"/>
      <c r="C40" s="5"/>
      <c r="D40" s="6"/>
      <c r="E40" s="7"/>
      <c r="F40" s="8">
        <f t="shared" si="1"/>
        <v>0</v>
      </c>
      <c r="G40" s="17" t="s">
        <v>24</v>
      </c>
      <c r="H40" s="19">
        <v>4</v>
      </c>
      <c r="I40" s="30">
        <v>146667</v>
      </c>
      <c r="J40" s="10">
        <f t="shared" si="2"/>
        <v>586668</v>
      </c>
    </row>
    <row r="41" spans="2:12" ht="30" x14ac:dyDescent="0.25">
      <c r="B41" s="125"/>
      <c r="C41" s="5"/>
      <c r="D41" s="6"/>
      <c r="E41" s="7"/>
      <c r="F41" s="8"/>
      <c r="G41" s="17" t="s">
        <v>70</v>
      </c>
      <c r="H41" s="19">
        <v>1</v>
      </c>
      <c r="I41" s="30">
        <v>200000</v>
      </c>
      <c r="J41" s="10">
        <f t="shared" si="2"/>
        <v>200000</v>
      </c>
    </row>
    <row r="42" spans="2:12" x14ac:dyDescent="0.25">
      <c r="B42" s="125"/>
      <c r="C42" s="5"/>
      <c r="D42" s="6"/>
      <c r="E42" s="7"/>
      <c r="F42" s="8">
        <f t="shared" si="1"/>
        <v>0</v>
      </c>
      <c r="G42" s="17" t="s">
        <v>25</v>
      </c>
      <c r="H42" s="14">
        <v>5</v>
      </c>
      <c r="I42" s="18">
        <v>2000</v>
      </c>
      <c r="J42" s="15">
        <f t="shared" si="2"/>
        <v>10000</v>
      </c>
    </row>
    <row r="43" spans="2:12" x14ac:dyDescent="0.25">
      <c r="B43" s="125"/>
      <c r="C43" s="5"/>
      <c r="D43" s="6"/>
      <c r="E43" s="7"/>
      <c r="F43" s="8">
        <f t="shared" si="1"/>
        <v>0</v>
      </c>
      <c r="G43" s="17" t="s">
        <v>26</v>
      </c>
      <c r="H43" s="14">
        <v>2</v>
      </c>
      <c r="I43" s="18">
        <v>1333</v>
      </c>
      <c r="J43" s="15">
        <f t="shared" si="2"/>
        <v>2666</v>
      </c>
    </row>
    <row r="44" spans="2:12" x14ac:dyDescent="0.25">
      <c r="B44" s="125"/>
      <c r="C44" s="5"/>
      <c r="D44" s="6"/>
      <c r="E44" s="7"/>
      <c r="F44" s="8">
        <f t="shared" si="1"/>
        <v>0</v>
      </c>
      <c r="G44" s="17" t="s">
        <v>27</v>
      </c>
      <c r="H44" s="19">
        <v>5</v>
      </c>
      <c r="I44" s="18">
        <v>38000</v>
      </c>
      <c r="J44" s="15">
        <f t="shared" si="2"/>
        <v>190000</v>
      </c>
    </row>
    <row r="45" spans="2:12" x14ac:dyDescent="0.25">
      <c r="B45" s="125"/>
      <c r="C45" s="5"/>
      <c r="D45" s="6"/>
      <c r="E45" s="7"/>
      <c r="F45" s="8">
        <f t="shared" si="1"/>
        <v>0</v>
      </c>
      <c r="G45" s="17" t="s">
        <v>28</v>
      </c>
      <c r="H45" s="19">
        <v>5</v>
      </c>
      <c r="I45" s="18">
        <v>2700</v>
      </c>
      <c r="J45" s="15">
        <f t="shared" si="2"/>
        <v>13500</v>
      </c>
    </row>
    <row r="46" spans="2:12" x14ac:dyDescent="0.25">
      <c r="B46" s="125"/>
      <c r="C46" s="5"/>
      <c r="D46" s="6"/>
      <c r="E46" s="7"/>
      <c r="F46" s="8"/>
      <c r="G46" s="17" t="s">
        <v>402</v>
      </c>
      <c r="H46" s="19">
        <v>1</v>
      </c>
      <c r="I46" s="18">
        <v>2700</v>
      </c>
      <c r="J46" s="15">
        <f t="shared" si="2"/>
        <v>2700</v>
      </c>
    </row>
    <row r="47" spans="2:12" x14ac:dyDescent="0.25">
      <c r="B47" s="125"/>
      <c r="C47" s="5"/>
      <c r="D47" s="6"/>
      <c r="E47" s="7"/>
      <c r="F47" s="8">
        <f t="shared" si="1"/>
        <v>0</v>
      </c>
      <c r="G47" s="17" t="s">
        <v>80</v>
      </c>
      <c r="H47" s="14">
        <v>2</v>
      </c>
      <c r="I47" s="18">
        <v>16000</v>
      </c>
      <c r="J47" s="15">
        <f t="shared" si="2"/>
        <v>32000</v>
      </c>
      <c r="L47">
        <v>130</v>
      </c>
    </row>
    <row r="48" spans="2:12" x14ac:dyDescent="0.25">
      <c r="B48" s="125"/>
      <c r="C48" s="5"/>
      <c r="D48" s="6"/>
      <c r="E48" s="7"/>
      <c r="F48" s="8"/>
      <c r="G48" s="17" t="s">
        <v>29</v>
      </c>
      <c r="H48" s="14">
        <v>4</v>
      </c>
      <c r="I48" s="18">
        <v>533</v>
      </c>
      <c r="J48" s="15">
        <f t="shared" si="2"/>
        <v>2132</v>
      </c>
    </row>
    <row r="49" spans="2:10" x14ac:dyDescent="0.25">
      <c r="B49" s="125"/>
      <c r="C49" s="5"/>
      <c r="D49" s="6"/>
      <c r="E49" s="7"/>
      <c r="F49" s="8"/>
      <c r="G49" s="17" t="s">
        <v>30</v>
      </c>
      <c r="H49" s="14">
        <v>4</v>
      </c>
      <c r="I49" s="18">
        <v>533</v>
      </c>
      <c r="J49" s="15">
        <f t="shared" si="2"/>
        <v>2132</v>
      </c>
    </row>
    <row r="50" spans="2:10" x14ac:dyDescent="0.25">
      <c r="B50" s="125"/>
      <c r="C50" s="5"/>
      <c r="D50" s="6"/>
      <c r="E50" s="7"/>
      <c r="F50" s="8"/>
      <c r="G50" s="17" t="s">
        <v>326</v>
      </c>
      <c r="H50" s="14">
        <v>1</v>
      </c>
      <c r="I50" s="18">
        <v>5000</v>
      </c>
      <c r="J50" s="15">
        <f t="shared" si="2"/>
        <v>5000</v>
      </c>
    </row>
    <row r="51" spans="2:10" x14ac:dyDescent="0.25">
      <c r="B51" s="125"/>
      <c r="C51" s="5"/>
      <c r="D51" s="6"/>
      <c r="E51" s="7"/>
      <c r="F51" s="8"/>
      <c r="G51" s="17" t="s">
        <v>327</v>
      </c>
      <c r="H51" s="14">
        <v>1</v>
      </c>
      <c r="I51" s="18">
        <v>5000</v>
      </c>
      <c r="J51" s="15">
        <f t="shared" si="2"/>
        <v>5000</v>
      </c>
    </row>
    <row r="52" spans="2:10" x14ac:dyDescent="0.25">
      <c r="B52" s="125"/>
      <c r="C52" s="5"/>
      <c r="D52" s="6"/>
      <c r="E52" s="7"/>
      <c r="F52" s="8"/>
      <c r="G52" s="17" t="s">
        <v>328</v>
      </c>
      <c r="H52" s="14">
        <v>1</v>
      </c>
      <c r="I52" s="18">
        <v>3000</v>
      </c>
      <c r="J52" s="15">
        <f t="shared" si="2"/>
        <v>3000</v>
      </c>
    </row>
    <row r="53" spans="2:10" x14ac:dyDescent="0.25">
      <c r="B53" s="125"/>
      <c r="C53" s="5"/>
      <c r="D53" s="6"/>
      <c r="E53" s="7"/>
      <c r="F53" s="8"/>
      <c r="G53" s="17" t="s">
        <v>31</v>
      </c>
      <c r="H53" s="14">
        <v>4</v>
      </c>
      <c r="I53" s="18">
        <v>3000</v>
      </c>
      <c r="J53" s="15">
        <f t="shared" si="2"/>
        <v>12000</v>
      </c>
    </row>
    <row r="54" spans="2:10" x14ac:dyDescent="0.25">
      <c r="B54" s="125"/>
      <c r="C54" s="5"/>
      <c r="D54" s="6"/>
      <c r="E54" s="7"/>
      <c r="F54" s="8">
        <f>D54*E54</f>
        <v>0</v>
      </c>
      <c r="G54" s="17" t="s">
        <v>400</v>
      </c>
      <c r="H54" s="14">
        <v>20</v>
      </c>
      <c r="I54" s="18">
        <v>5333</v>
      </c>
      <c r="J54" s="15">
        <f t="shared" si="2"/>
        <v>106660</v>
      </c>
    </row>
    <row r="55" spans="2:10" x14ac:dyDescent="0.25">
      <c r="B55" s="125"/>
      <c r="C55" s="5"/>
      <c r="D55" s="6"/>
      <c r="E55" s="7"/>
      <c r="F55" s="8"/>
      <c r="G55" s="17" t="s">
        <v>32</v>
      </c>
      <c r="H55" s="14">
        <v>1</v>
      </c>
      <c r="I55" s="18">
        <v>160000</v>
      </c>
      <c r="J55" s="15">
        <f t="shared" si="2"/>
        <v>160000</v>
      </c>
    </row>
    <row r="56" spans="2:10" ht="15.75" customHeight="1" x14ac:dyDescent="0.25">
      <c r="B56" s="125"/>
      <c r="C56" s="5"/>
      <c r="D56" s="6"/>
      <c r="E56" s="7"/>
      <c r="F56" s="8"/>
      <c r="G56" s="16" t="s">
        <v>33</v>
      </c>
      <c r="H56" s="14">
        <v>2</v>
      </c>
      <c r="I56" s="18">
        <v>53333</v>
      </c>
      <c r="J56" s="15">
        <f t="shared" si="2"/>
        <v>106666</v>
      </c>
    </row>
    <row r="57" spans="2:10" ht="33" customHeight="1" x14ac:dyDescent="0.25">
      <c r="B57" s="125"/>
      <c r="C57" s="5"/>
      <c r="D57" s="6"/>
      <c r="E57" s="7"/>
      <c r="F57" s="8"/>
      <c r="G57" s="16" t="s">
        <v>78</v>
      </c>
      <c r="H57" s="14">
        <v>1</v>
      </c>
      <c r="I57" s="18">
        <v>3633300</v>
      </c>
      <c r="J57" s="15">
        <f t="shared" si="2"/>
        <v>3633300</v>
      </c>
    </row>
    <row r="58" spans="2:10" x14ac:dyDescent="0.25">
      <c r="B58" s="125"/>
      <c r="C58" s="5"/>
      <c r="D58" s="6"/>
      <c r="E58" s="7"/>
      <c r="F58" s="8"/>
      <c r="G58" s="17" t="s">
        <v>34</v>
      </c>
      <c r="H58" s="14">
        <v>20</v>
      </c>
      <c r="I58" s="18">
        <v>20000</v>
      </c>
      <c r="J58" s="15">
        <f t="shared" si="2"/>
        <v>400000</v>
      </c>
    </row>
    <row r="59" spans="2:10" x14ac:dyDescent="0.25">
      <c r="B59" s="113" t="s">
        <v>12</v>
      </c>
      <c r="C59" s="113"/>
      <c r="D59" s="113"/>
      <c r="E59" s="113"/>
      <c r="F59" s="114">
        <f>SUM(F23:F55)</f>
        <v>3350000</v>
      </c>
      <c r="G59" s="115" t="s">
        <v>12</v>
      </c>
      <c r="H59" s="115"/>
      <c r="I59" s="115"/>
      <c r="J59" s="116">
        <f>SUM(J23:J58)</f>
        <v>6939123</v>
      </c>
    </row>
    <row r="60" spans="2:10" ht="15.75" thickBot="1" x14ac:dyDescent="0.3">
      <c r="B60" s="113"/>
      <c r="C60" s="113"/>
      <c r="D60" s="113"/>
      <c r="E60" s="113"/>
      <c r="F60" s="114"/>
      <c r="G60" s="115"/>
      <c r="H60" s="115"/>
      <c r="I60" s="115"/>
      <c r="J60" s="116"/>
    </row>
    <row r="61" spans="2:10" ht="15" customHeight="1" x14ac:dyDescent="0.25">
      <c r="B61" s="121" t="s">
        <v>405</v>
      </c>
      <c r="C61" s="121"/>
      <c r="D61" s="121"/>
      <c r="E61" s="121"/>
      <c r="F61" s="121"/>
      <c r="G61" s="121"/>
      <c r="H61" s="121"/>
      <c r="I61" s="121"/>
      <c r="J61" s="121"/>
    </row>
    <row r="62" spans="2:10" x14ac:dyDescent="0.25">
      <c r="B62" s="122" t="s">
        <v>0</v>
      </c>
      <c r="C62" s="123" t="s">
        <v>1</v>
      </c>
      <c r="D62" s="123"/>
      <c r="E62" s="123"/>
      <c r="F62" s="123"/>
      <c r="G62" s="112" t="s">
        <v>2</v>
      </c>
      <c r="H62" s="112"/>
      <c r="I62" s="112"/>
      <c r="J62" s="112"/>
    </row>
    <row r="63" spans="2:10" x14ac:dyDescent="0.25">
      <c r="B63" s="122"/>
      <c r="C63" s="2" t="s">
        <v>3</v>
      </c>
      <c r="D63" s="3" t="s">
        <v>4</v>
      </c>
      <c r="E63" s="3" t="s">
        <v>5</v>
      </c>
      <c r="F63" s="3" t="s">
        <v>6</v>
      </c>
      <c r="G63" s="2" t="s">
        <v>3</v>
      </c>
      <c r="H63" s="3" t="s">
        <v>4</v>
      </c>
      <c r="I63" s="3" t="s">
        <v>5</v>
      </c>
      <c r="J63" s="4" t="s">
        <v>6</v>
      </c>
    </row>
    <row r="64" spans="2:10" x14ac:dyDescent="0.25">
      <c r="B64" s="2"/>
      <c r="C64" s="2"/>
      <c r="D64" s="3"/>
      <c r="E64" s="3"/>
      <c r="F64" s="21"/>
      <c r="G64" s="96" t="s">
        <v>410</v>
      </c>
      <c r="H64" s="72">
        <v>50</v>
      </c>
      <c r="I64" s="18">
        <v>1500</v>
      </c>
      <c r="J64" s="15">
        <f t="shared" ref="J64:J77" si="3">H64*I64</f>
        <v>75000</v>
      </c>
    </row>
    <row r="65" spans="2:10" x14ac:dyDescent="0.25">
      <c r="B65" s="20"/>
      <c r="C65" s="5" t="s">
        <v>8</v>
      </c>
      <c r="D65" s="6">
        <v>5</v>
      </c>
      <c r="E65" s="7">
        <v>90000</v>
      </c>
      <c r="F65" s="8">
        <f>D65*E65</f>
        <v>450000</v>
      </c>
      <c r="G65" s="73" t="s">
        <v>36</v>
      </c>
      <c r="H65" s="72">
        <v>50</v>
      </c>
      <c r="I65" s="18">
        <v>1500</v>
      </c>
      <c r="J65" s="15">
        <f t="shared" si="3"/>
        <v>75000</v>
      </c>
    </row>
    <row r="66" spans="2:10" x14ac:dyDescent="0.25">
      <c r="B66" s="20"/>
      <c r="C66" s="5"/>
      <c r="D66" s="6"/>
      <c r="E66" s="7"/>
      <c r="F66" s="8">
        <f t="shared" ref="F66:F68" si="4">D66*E66</f>
        <v>0</v>
      </c>
      <c r="G66" s="97" t="s">
        <v>411</v>
      </c>
      <c r="H66" s="72">
        <v>50</v>
      </c>
      <c r="I66" s="18">
        <v>1500</v>
      </c>
      <c r="J66" s="15">
        <f t="shared" si="3"/>
        <v>75000</v>
      </c>
    </row>
    <row r="67" spans="2:10" x14ac:dyDescent="0.25">
      <c r="B67" s="20"/>
      <c r="C67" s="5" t="s">
        <v>337</v>
      </c>
      <c r="D67" s="6">
        <v>100</v>
      </c>
      <c r="E67" s="7">
        <v>1500</v>
      </c>
      <c r="F67" s="8">
        <f t="shared" si="4"/>
        <v>150000</v>
      </c>
      <c r="G67" s="73"/>
      <c r="H67" s="72"/>
      <c r="I67" s="18">
        <v>1500</v>
      </c>
      <c r="J67" s="15">
        <f t="shared" si="3"/>
        <v>0</v>
      </c>
    </row>
    <row r="68" spans="2:10" ht="45" x14ac:dyDescent="0.25">
      <c r="B68" s="20"/>
      <c r="C68" s="98" t="s">
        <v>412</v>
      </c>
      <c r="D68" s="6"/>
      <c r="E68" s="7"/>
      <c r="F68" s="8">
        <f t="shared" si="4"/>
        <v>0</v>
      </c>
      <c r="G68" s="73" t="s">
        <v>39</v>
      </c>
      <c r="H68" s="72">
        <v>50</v>
      </c>
      <c r="I68" s="18">
        <v>1500</v>
      </c>
      <c r="J68" s="15">
        <f t="shared" si="3"/>
        <v>75000</v>
      </c>
    </row>
    <row r="69" spans="2:10" x14ac:dyDescent="0.25">
      <c r="B69" s="20"/>
      <c r="C69" s="5"/>
      <c r="D69" s="6"/>
      <c r="E69" s="7"/>
      <c r="F69" s="8"/>
      <c r="G69" s="73"/>
      <c r="H69" s="72"/>
      <c r="I69" s="18">
        <v>1500</v>
      </c>
      <c r="J69" s="15">
        <f t="shared" si="3"/>
        <v>0</v>
      </c>
    </row>
    <row r="70" spans="2:10" x14ac:dyDescent="0.25">
      <c r="B70" s="20"/>
      <c r="C70" s="5"/>
      <c r="D70" s="6"/>
      <c r="E70" s="7"/>
      <c r="F70" s="8"/>
      <c r="G70" s="17" t="s">
        <v>329</v>
      </c>
      <c r="H70" s="29">
        <v>50</v>
      </c>
      <c r="I70" s="18">
        <v>1500</v>
      </c>
      <c r="J70" s="15">
        <f t="shared" si="3"/>
        <v>75000</v>
      </c>
    </row>
    <row r="71" spans="2:10" x14ac:dyDescent="0.25">
      <c r="B71" s="20"/>
      <c r="C71" s="5"/>
      <c r="D71" s="6"/>
      <c r="E71" s="7"/>
      <c r="F71" s="8"/>
      <c r="G71" s="17" t="s">
        <v>331</v>
      </c>
      <c r="H71" s="29">
        <v>50</v>
      </c>
      <c r="I71" s="18">
        <v>1500</v>
      </c>
      <c r="J71" s="15">
        <f t="shared" si="3"/>
        <v>75000</v>
      </c>
    </row>
    <row r="72" spans="2:10" x14ac:dyDescent="0.25">
      <c r="B72" s="20"/>
      <c r="C72" s="5"/>
      <c r="D72" s="6"/>
      <c r="E72" s="7"/>
      <c r="F72" s="8"/>
      <c r="G72" s="17" t="s">
        <v>330</v>
      </c>
      <c r="H72" s="29">
        <v>50</v>
      </c>
      <c r="I72" s="18">
        <v>1500</v>
      </c>
      <c r="J72" s="15">
        <f t="shared" si="3"/>
        <v>75000</v>
      </c>
    </row>
    <row r="73" spans="2:10" x14ac:dyDescent="0.25">
      <c r="B73" s="20"/>
      <c r="C73" s="5"/>
      <c r="D73" s="6"/>
      <c r="E73" s="7"/>
      <c r="F73" s="8"/>
      <c r="G73" s="17" t="s">
        <v>332</v>
      </c>
      <c r="H73" s="29">
        <v>50</v>
      </c>
      <c r="I73" s="18">
        <v>1500</v>
      </c>
      <c r="J73" s="15">
        <f t="shared" si="3"/>
        <v>75000</v>
      </c>
    </row>
    <row r="74" spans="2:10" x14ac:dyDescent="0.25">
      <c r="B74" s="20"/>
      <c r="C74" s="5"/>
      <c r="D74" s="6"/>
      <c r="E74" s="7"/>
      <c r="F74" s="8"/>
      <c r="G74" s="17" t="s">
        <v>406</v>
      </c>
      <c r="H74" s="29">
        <v>50</v>
      </c>
      <c r="I74" s="18">
        <v>1500</v>
      </c>
      <c r="J74" s="15">
        <f t="shared" si="3"/>
        <v>75000</v>
      </c>
    </row>
    <row r="75" spans="2:10" x14ac:dyDescent="0.25">
      <c r="B75" s="20"/>
      <c r="C75" s="5"/>
      <c r="D75" s="6"/>
      <c r="E75" s="7"/>
      <c r="F75" s="8"/>
      <c r="G75" s="17" t="s">
        <v>334</v>
      </c>
      <c r="H75" s="29">
        <v>50</v>
      </c>
      <c r="I75" s="18">
        <v>1500</v>
      </c>
      <c r="J75" s="15">
        <f t="shared" si="3"/>
        <v>75000</v>
      </c>
    </row>
    <row r="76" spans="2:10" x14ac:dyDescent="0.25">
      <c r="B76" s="20"/>
      <c r="C76" s="5"/>
      <c r="D76" s="6"/>
      <c r="E76" s="7"/>
      <c r="F76" s="8"/>
      <c r="G76" s="17" t="s">
        <v>409</v>
      </c>
      <c r="H76" s="29"/>
      <c r="I76" s="18">
        <v>1500</v>
      </c>
      <c r="J76" s="15">
        <f t="shared" si="3"/>
        <v>0</v>
      </c>
    </row>
    <row r="77" spans="2:10" x14ac:dyDescent="0.25">
      <c r="B77" s="22"/>
      <c r="C77" s="5"/>
      <c r="D77" s="6"/>
      <c r="E77" s="7"/>
      <c r="F77" s="8"/>
      <c r="G77" s="97" t="s">
        <v>41</v>
      </c>
      <c r="H77" s="72">
        <v>50</v>
      </c>
      <c r="I77" s="18">
        <v>1500</v>
      </c>
      <c r="J77" s="15">
        <f t="shared" si="3"/>
        <v>75000</v>
      </c>
    </row>
    <row r="78" spans="2:10" x14ac:dyDescent="0.25">
      <c r="B78" s="113" t="s">
        <v>12</v>
      </c>
      <c r="C78" s="113"/>
      <c r="D78" s="113"/>
      <c r="E78" s="113"/>
      <c r="F78" s="114">
        <f>SUM(F65:F77)</f>
        <v>600000</v>
      </c>
      <c r="G78" s="115" t="s">
        <v>12</v>
      </c>
      <c r="H78" s="115"/>
      <c r="I78" s="115"/>
      <c r="J78" s="116">
        <f>SUM(J64:J77)</f>
        <v>825000</v>
      </c>
    </row>
    <row r="79" spans="2:10" ht="15.75" thickBot="1" x14ac:dyDescent="0.3">
      <c r="B79" s="113"/>
      <c r="C79" s="113"/>
      <c r="D79" s="113"/>
      <c r="E79" s="113"/>
      <c r="F79" s="114"/>
      <c r="G79" s="115"/>
      <c r="H79" s="115"/>
      <c r="I79" s="115"/>
      <c r="J79" s="116"/>
    </row>
    <row r="80" spans="2:10" ht="14.85" customHeight="1" x14ac:dyDescent="0.25">
      <c r="B80" s="121" t="s">
        <v>413</v>
      </c>
      <c r="C80" s="121"/>
      <c r="D80" s="121"/>
      <c r="E80" s="121"/>
      <c r="F80" s="121"/>
      <c r="G80" s="121"/>
      <c r="H80" s="121"/>
      <c r="I80" s="121"/>
      <c r="J80" s="121"/>
    </row>
    <row r="81" spans="1:10" x14ac:dyDescent="0.25">
      <c r="B81" s="122" t="s">
        <v>0</v>
      </c>
      <c r="C81" s="123" t="s">
        <v>1</v>
      </c>
      <c r="D81" s="123"/>
      <c r="E81" s="123"/>
      <c r="F81" s="123"/>
      <c r="G81" s="112" t="s">
        <v>2</v>
      </c>
      <c r="H81" s="112"/>
      <c r="I81" s="112"/>
      <c r="J81" s="112"/>
    </row>
    <row r="82" spans="1:10" x14ac:dyDescent="0.25">
      <c r="B82" s="122"/>
      <c r="C82" s="2" t="s">
        <v>3</v>
      </c>
      <c r="D82" s="3" t="s">
        <v>4</v>
      </c>
      <c r="E82" s="3" t="s">
        <v>5</v>
      </c>
      <c r="F82" s="3" t="s">
        <v>6</v>
      </c>
      <c r="G82" s="2" t="s">
        <v>3</v>
      </c>
      <c r="H82" s="3" t="s">
        <v>4</v>
      </c>
      <c r="I82" s="3" t="s">
        <v>5</v>
      </c>
      <c r="J82" s="4" t="s">
        <v>6</v>
      </c>
    </row>
    <row r="83" spans="1:10" x14ac:dyDescent="0.25">
      <c r="B83" s="124"/>
      <c r="C83" s="5"/>
      <c r="D83" s="6"/>
      <c r="E83" s="7">
        <v>15000</v>
      </c>
      <c r="F83" s="8">
        <f t="shared" ref="F83:F88" si="5">D83*E83</f>
        <v>0</v>
      </c>
      <c r="G83" s="23" t="s">
        <v>42</v>
      </c>
      <c r="H83" s="6">
        <v>4</v>
      </c>
      <c r="I83" s="7">
        <v>15000</v>
      </c>
      <c r="J83" s="15">
        <f t="shared" ref="J83:J113" si="6">H83*I83</f>
        <v>60000</v>
      </c>
    </row>
    <row r="84" spans="1:10" x14ac:dyDescent="0.25">
      <c r="B84" s="124"/>
      <c r="C84" s="11" t="s">
        <v>74</v>
      </c>
      <c r="D84" s="12">
        <v>50</v>
      </c>
      <c r="E84" s="13">
        <v>5000</v>
      </c>
      <c r="F84" s="8">
        <f t="shared" si="5"/>
        <v>250000</v>
      </c>
      <c r="G84" s="23" t="s">
        <v>44</v>
      </c>
      <c r="H84" s="14">
        <v>5</v>
      </c>
      <c r="I84" s="7">
        <v>15000</v>
      </c>
      <c r="J84" s="15">
        <f t="shared" si="6"/>
        <v>75000</v>
      </c>
    </row>
    <row r="85" spans="1:10" x14ac:dyDescent="0.25">
      <c r="B85" s="124"/>
      <c r="C85" s="5" t="s">
        <v>43</v>
      </c>
      <c r="D85" s="6">
        <v>100</v>
      </c>
      <c r="E85" s="7">
        <v>5000</v>
      </c>
      <c r="F85" s="8">
        <f t="shared" si="5"/>
        <v>500000</v>
      </c>
      <c r="G85" s="23" t="s">
        <v>76</v>
      </c>
      <c r="H85" s="14">
        <v>10</v>
      </c>
      <c r="I85" s="7">
        <v>15000</v>
      </c>
      <c r="J85" s="15">
        <f t="shared" si="6"/>
        <v>150000</v>
      </c>
    </row>
    <row r="86" spans="1:10" x14ac:dyDescent="0.25">
      <c r="A86">
        <v>540</v>
      </c>
      <c r="B86" s="124"/>
      <c r="C86" s="5" t="s">
        <v>45</v>
      </c>
      <c r="D86" s="6">
        <v>50</v>
      </c>
      <c r="E86" s="7">
        <v>1000</v>
      </c>
      <c r="F86" s="8">
        <f t="shared" si="5"/>
        <v>50000</v>
      </c>
      <c r="G86" s="23" t="s">
        <v>47</v>
      </c>
      <c r="H86" s="14">
        <v>5</v>
      </c>
      <c r="I86" s="7">
        <v>15000</v>
      </c>
      <c r="J86" s="15">
        <f t="shared" si="6"/>
        <v>75000</v>
      </c>
    </row>
    <row r="87" spans="1:10" x14ac:dyDescent="0.25">
      <c r="B87" s="124"/>
      <c r="C87" s="5" t="s">
        <v>46</v>
      </c>
      <c r="D87" s="6">
        <v>500</v>
      </c>
      <c r="E87" s="7">
        <v>500</v>
      </c>
      <c r="F87" s="8">
        <f t="shared" si="5"/>
        <v>250000</v>
      </c>
      <c r="G87" s="23" t="s">
        <v>49</v>
      </c>
      <c r="H87" s="14">
        <v>5</v>
      </c>
      <c r="I87" s="7">
        <v>3000</v>
      </c>
      <c r="J87" s="15">
        <f t="shared" si="6"/>
        <v>15000</v>
      </c>
    </row>
    <row r="88" spans="1:10" x14ac:dyDescent="0.25">
      <c r="B88" s="124"/>
      <c r="C88" s="5" t="s">
        <v>48</v>
      </c>
      <c r="D88" s="6">
        <v>50</v>
      </c>
      <c r="E88" s="7">
        <v>500</v>
      </c>
      <c r="F88" s="8">
        <f t="shared" si="5"/>
        <v>25000</v>
      </c>
      <c r="G88" s="23" t="s">
        <v>50</v>
      </c>
      <c r="H88" s="14">
        <v>100</v>
      </c>
      <c r="I88" s="18">
        <v>15000</v>
      </c>
      <c r="J88" s="15">
        <f t="shared" ref="J88:J90" si="7">H87*I87</f>
        <v>15000</v>
      </c>
    </row>
    <row r="89" spans="1:10" x14ac:dyDescent="0.25">
      <c r="B89" s="124"/>
      <c r="C89" s="23" t="s">
        <v>54</v>
      </c>
      <c r="D89" s="14">
        <v>3</v>
      </c>
      <c r="E89" s="18">
        <v>3000</v>
      </c>
      <c r="F89" s="8">
        <f>D89*E89</f>
        <v>9000</v>
      </c>
      <c r="G89" s="23" t="s">
        <v>51</v>
      </c>
      <c r="H89" s="14">
        <v>5</v>
      </c>
      <c r="I89" s="7">
        <v>15000</v>
      </c>
      <c r="J89" s="15">
        <f t="shared" si="7"/>
        <v>1500000</v>
      </c>
    </row>
    <row r="90" spans="1:10" x14ac:dyDescent="0.25">
      <c r="B90" s="124"/>
      <c r="C90" s="23" t="s">
        <v>71</v>
      </c>
      <c r="D90" s="14">
        <v>5</v>
      </c>
      <c r="E90" s="18">
        <v>5000</v>
      </c>
      <c r="F90" s="8">
        <f>D90*E90</f>
        <v>25000</v>
      </c>
      <c r="G90" s="23" t="s">
        <v>52</v>
      </c>
      <c r="H90" s="14">
        <v>5</v>
      </c>
      <c r="I90" s="18">
        <v>8000</v>
      </c>
      <c r="J90" s="15">
        <f t="shared" si="7"/>
        <v>75000</v>
      </c>
    </row>
    <row r="91" spans="1:10" x14ac:dyDescent="0.25">
      <c r="B91" s="124"/>
      <c r="C91" s="23" t="s">
        <v>73</v>
      </c>
      <c r="D91" s="14">
        <v>3</v>
      </c>
      <c r="E91" s="18">
        <v>5000</v>
      </c>
      <c r="F91" s="8">
        <f>D91*E91</f>
        <v>15000</v>
      </c>
      <c r="G91" s="23"/>
      <c r="H91" s="14">
        <v>5</v>
      </c>
      <c r="I91" s="18">
        <v>2000</v>
      </c>
      <c r="J91" s="15">
        <f>H91*I91</f>
        <v>10000</v>
      </c>
    </row>
    <row r="92" spans="1:10" x14ac:dyDescent="0.25">
      <c r="B92" s="124"/>
      <c r="C92" s="5" t="s">
        <v>8</v>
      </c>
      <c r="D92" s="6">
        <v>10</v>
      </c>
      <c r="E92" s="7">
        <v>90000</v>
      </c>
      <c r="F92" s="8">
        <f>D92*E92</f>
        <v>900000</v>
      </c>
      <c r="G92" s="31"/>
      <c r="H92" s="19"/>
      <c r="I92" s="18"/>
      <c r="J92" s="15"/>
    </row>
    <row r="93" spans="1:10" x14ac:dyDescent="0.25">
      <c r="B93" s="124"/>
      <c r="C93" s="5" t="s">
        <v>414</v>
      </c>
      <c r="D93" s="6"/>
      <c r="E93" s="7"/>
      <c r="F93" s="8"/>
      <c r="G93" s="23"/>
      <c r="H93" s="14"/>
      <c r="I93" s="18"/>
      <c r="J93" s="15"/>
    </row>
    <row r="94" spans="1:10" x14ac:dyDescent="0.25">
      <c r="B94" s="124"/>
      <c r="C94" s="5" t="s">
        <v>415</v>
      </c>
      <c r="D94" s="6"/>
      <c r="E94" s="7"/>
      <c r="F94" s="8"/>
      <c r="G94" s="23" t="s">
        <v>55</v>
      </c>
      <c r="H94" s="14">
        <v>1</v>
      </c>
      <c r="I94" s="18">
        <v>194000</v>
      </c>
      <c r="J94" s="15">
        <f t="shared" si="6"/>
        <v>194000</v>
      </c>
    </row>
    <row r="95" spans="1:10" x14ac:dyDescent="0.25">
      <c r="B95" s="124"/>
      <c r="C95" s="5"/>
      <c r="D95" s="6"/>
      <c r="E95" s="7"/>
      <c r="F95" s="8"/>
      <c r="G95" s="23" t="s">
        <v>56</v>
      </c>
      <c r="H95" s="94">
        <v>2</v>
      </c>
      <c r="I95" s="18">
        <v>8667</v>
      </c>
      <c r="J95" s="15">
        <f t="shared" si="6"/>
        <v>17334</v>
      </c>
    </row>
    <row r="96" spans="1:10" x14ac:dyDescent="0.25">
      <c r="B96" s="124"/>
      <c r="C96" s="5"/>
      <c r="D96" s="6"/>
      <c r="E96" s="7"/>
      <c r="F96" s="8"/>
      <c r="G96" s="23" t="s">
        <v>57</v>
      </c>
      <c r="H96" s="94">
        <v>2</v>
      </c>
      <c r="I96" s="18">
        <v>13333</v>
      </c>
      <c r="J96" s="15">
        <f t="shared" si="6"/>
        <v>26666</v>
      </c>
    </row>
    <row r="97" spans="2:12" x14ac:dyDescent="0.25">
      <c r="B97" s="124"/>
      <c r="C97" s="5"/>
      <c r="D97" s="6"/>
      <c r="E97" s="7"/>
      <c r="F97" s="8"/>
      <c r="G97" s="23" t="s">
        <v>67</v>
      </c>
      <c r="H97" s="94">
        <v>1</v>
      </c>
      <c r="I97" s="18">
        <v>42667</v>
      </c>
      <c r="J97" s="15">
        <f t="shared" si="6"/>
        <v>42667</v>
      </c>
    </row>
    <row r="98" spans="2:12" x14ac:dyDescent="0.25">
      <c r="B98" s="124"/>
      <c r="C98" s="5"/>
      <c r="D98" s="6"/>
      <c r="E98" s="7"/>
      <c r="F98" s="8"/>
      <c r="G98" s="23" t="s">
        <v>68</v>
      </c>
      <c r="H98" s="94">
        <v>1</v>
      </c>
      <c r="I98" s="18">
        <v>13333</v>
      </c>
      <c r="J98" s="15">
        <f t="shared" si="6"/>
        <v>13333</v>
      </c>
    </row>
    <row r="99" spans="2:12" x14ac:dyDescent="0.25">
      <c r="B99" s="124"/>
      <c r="C99" s="5"/>
      <c r="D99" s="6"/>
      <c r="E99" s="7"/>
      <c r="F99" s="8"/>
      <c r="G99" s="23" t="s">
        <v>90</v>
      </c>
      <c r="H99" s="94">
        <v>1</v>
      </c>
      <c r="I99" s="18">
        <v>7333</v>
      </c>
      <c r="J99" s="15">
        <f t="shared" si="6"/>
        <v>7333</v>
      </c>
    </row>
    <row r="100" spans="2:12" x14ac:dyDescent="0.25">
      <c r="B100" s="124"/>
      <c r="C100" s="5"/>
      <c r="D100" s="6"/>
      <c r="E100" s="7"/>
      <c r="F100" s="8"/>
      <c r="G100" s="23" t="s">
        <v>82</v>
      </c>
      <c r="H100" s="94">
        <v>1</v>
      </c>
      <c r="I100" s="18">
        <v>12000</v>
      </c>
      <c r="J100" s="15">
        <f t="shared" si="6"/>
        <v>12000</v>
      </c>
    </row>
    <row r="101" spans="2:12" x14ac:dyDescent="0.25">
      <c r="B101" s="124"/>
      <c r="C101" s="5"/>
      <c r="D101" s="6"/>
      <c r="E101" s="7"/>
      <c r="F101" s="8"/>
      <c r="G101" s="23" t="s">
        <v>58</v>
      </c>
      <c r="H101" s="94">
        <v>2</v>
      </c>
      <c r="I101" s="18">
        <v>7333</v>
      </c>
      <c r="J101" s="15">
        <f t="shared" si="6"/>
        <v>14666</v>
      </c>
      <c r="L101">
        <v>29</v>
      </c>
    </row>
    <row r="102" spans="2:12" x14ac:dyDescent="0.25">
      <c r="B102" s="124"/>
      <c r="C102" s="5"/>
      <c r="D102" s="6"/>
      <c r="E102" s="7"/>
      <c r="F102" s="8"/>
      <c r="G102" s="23" t="s">
        <v>91</v>
      </c>
      <c r="H102" s="94">
        <v>2</v>
      </c>
      <c r="I102" s="18">
        <v>18000</v>
      </c>
      <c r="J102" s="15">
        <f t="shared" si="6"/>
        <v>36000</v>
      </c>
    </row>
    <row r="103" spans="2:12" x14ac:dyDescent="0.25">
      <c r="B103" s="124"/>
      <c r="C103" s="5"/>
      <c r="D103" s="6"/>
      <c r="E103" s="7"/>
      <c r="F103" s="8"/>
      <c r="G103" s="23" t="s">
        <v>89</v>
      </c>
      <c r="H103" s="94">
        <v>1</v>
      </c>
      <c r="I103" s="18">
        <v>70000</v>
      </c>
      <c r="J103" s="15">
        <f t="shared" si="6"/>
        <v>70000</v>
      </c>
    </row>
    <row r="104" spans="2:12" x14ac:dyDescent="0.25">
      <c r="B104" s="124"/>
      <c r="C104" s="5"/>
      <c r="D104" s="6"/>
      <c r="E104" s="7"/>
      <c r="F104" s="8"/>
      <c r="G104" s="11" t="s">
        <v>83</v>
      </c>
      <c r="H104" s="12">
        <v>1</v>
      </c>
      <c r="I104" s="18">
        <v>70000</v>
      </c>
      <c r="J104" s="15">
        <f t="shared" si="6"/>
        <v>70000</v>
      </c>
    </row>
    <row r="105" spans="2:12" x14ac:dyDescent="0.25">
      <c r="B105" s="124"/>
      <c r="C105" s="5"/>
      <c r="D105" s="6"/>
      <c r="E105" s="7"/>
      <c r="F105" s="8"/>
      <c r="G105" s="11" t="s">
        <v>84</v>
      </c>
      <c r="H105" s="12">
        <v>1</v>
      </c>
      <c r="I105" s="18">
        <v>12000</v>
      </c>
      <c r="J105" s="15">
        <f t="shared" si="6"/>
        <v>12000</v>
      </c>
    </row>
    <row r="106" spans="2:12" x14ac:dyDescent="0.25">
      <c r="B106" s="124"/>
      <c r="C106" s="5"/>
      <c r="D106" s="6"/>
      <c r="E106" s="7"/>
      <c r="F106" s="8"/>
      <c r="G106" s="23" t="s">
        <v>59</v>
      </c>
      <c r="H106" s="14">
        <v>2</v>
      </c>
      <c r="I106" s="18">
        <v>16000</v>
      </c>
      <c r="J106" s="15">
        <f t="shared" si="6"/>
        <v>32000</v>
      </c>
    </row>
    <row r="107" spans="2:12" x14ac:dyDescent="0.25">
      <c r="B107" s="124"/>
      <c r="C107" s="5"/>
      <c r="D107" s="6"/>
      <c r="E107" s="7"/>
      <c r="F107" s="8"/>
      <c r="G107" s="23" t="s">
        <v>60</v>
      </c>
      <c r="H107" s="14">
        <v>1</v>
      </c>
      <c r="I107" s="18">
        <v>40000</v>
      </c>
      <c r="J107" s="15">
        <f t="shared" si="6"/>
        <v>40000</v>
      </c>
    </row>
    <row r="108" spans="2:12" x14ac:dyDescent="0.25">
      <c r="B108" s="124"/>
      <c r="C108" s="11"/>
      <c r="D108" s="11"/>
      <c r="E108" s="11"/>
      <c r="F108" s="8"/>
      <c r="G108" s="11" t="s">
        <v>61</v>
      </c>
      <c r="H108" s="6">
        <v>3</v>
      </c>
      <c r="I108" s="18">
        <v>42000</v>
      </c>
      <c r="J108" s="15">
        <f t="shared" si="6"/>
        <v>126000</v>
      </c>
    </row>
    <row r="109" spans="2:12" x14ac:dyDescent="0.25">
      <c r="B109" s="24"/>
      <c r="C109" s="11"/>
      <c r="D109" s="11"/>
      <c r="E109" s="11"/>
      <c r="F109" s="8"/>
      <c r="G109" s="11" t="s">
        <v>62</v>
      </c>
      <c r="H109" s="6">
        <v>1</v>
      </c>
      <c r="I109" s="18">
        <v>40000</v>
      </c>
      <c r="J109" s="15">
        <f t="shared" si="6"/>
        <v>40000</v>
      </c>
    </row>
    <row r="110" spans="2:12" x14ac:dyDescent="0.25">
      <c r="B110" s="24"/>
      <c r="C110" s="11"/>
      <c r="D110" s="11"/>
      <c r="E110" s="11"/>
      <c r="F110" s="8"/>
      <c r="G110" s="11" t="s">
        <v>87</v>
      </c>
      <c r="H110" s="6">
        <v>1</v>
      </c>
      <c r="I110" s="18">
        <v>80000</v>
      </c>
      <c r="J110" s="15">
        <f t="shared" si="6"/>
        <v>80000</v>
      </c>
    </row>
    <row r="111" spans="2:12" x14ac:dyDescent="0.25">
      <c r="B111" s="24"/>
      <c r="C111" s="11"/>
      <c r="D111" s="11"/>
      <c r="E111" s="11"/>
      <c r="F111" s="8"/>
      <c r="G111" s="11" t="s">
        <v>63</v>
      </c>
      <c r="H111" s="6">
        <v>1</v>
      </c>
      <c r="I111" s="18">
        <v>70000</v>
      </c>
      <c r="J111" s="15">
        <f t="shared" si="6"/>
        <v>70000</v>
      </c>
    </row>
    <row r="112" spans="2:12" x14ac:dyDescent="0.25">
      <c r="B112" s="24"/>
      <c r="C112" s="74"/>
      <c r="D112" s="74"/>
      <c r="E112" s="74"/>
      <c r="F112" s="8"/>
      <c r="G112" s="11" t="s">
        <v>338</v>
      </c>
      <c r="H112" s="6">
        <v>2</v>
      </c>
      <c r="I112" s="18">
        <v>40000</v>
      </c>
      <c r="J112" s="15">
        <f t="shared" si="6"/>
        <v>80000</v>
      </c>
    </row>
    <row r="113" spans="2:12" x14ac:dyDescent="0.25">
      <c r="B113" s="24"/>
      <c r="C113" s="74"/>
      <c r="D113" s="74"/>
      <c r="E113" s="74"/>
      <c r="F113" s="8"/>
      <c r="G113" s="11" t="s">
        <v>85</v>
      </c>
      <c r="H113" s="6">
        <v>2</v>
      </c>
      <c r="I113" s="18">
        <v>50000</v>
      </c>
      <c r="J113" s="15">
        <f t="shared" si="6"/>
        <v>100000</v>
      </c>
    </row>
    <row r="114" spans="2:12" x14ac:dyDescent="0.25">
      <c r="B114" s="24"/>
      <c r="C114" s="74"/>
      <c r="D114" s="74"/>
      <c r="E114" s="74"/>
      <c r="F114" s="8"/>
      <c r="G114" s="11" t="s">
        <v>339</v>
      </c>
      <c r="H114" s="6"/>
      <c r="I114" s="18"/>
      <c r="J114" s="15"/>
    </row>
    <row r="115" spans="2:12" x14ac:dyDescent="0.25">
      <c r="B115" s="113" t="s">
        <v>12</v>
      </c>
      <c r="C115" s="113"/>
      <c r="D115" s="113"/>
      <c r="E115" s="113"/>
      <c r="F115" s="114">
        <f>SUM(F83:F108)</f>
        <v>2024000</v>
      </c>
      <c r="G115" s="115" t="s">
        <v>12</v>
      </c>
      <c r="H115" s="115"/>
      <c r="I115" s="115"/>
      <c r="J115" s="116">
        <f>SUM(J83:J114)</f>
        <v>3058999</v>
      </c>
    </row>
    <row r="116" spans="2:12" x14ac:dyDescent="0.25">
      <c r="B116" s="113"/>
      <c r="C116" s="113"/>
      <c r="D116" s="113"/>
      <c r="E116" s="113"/>
      <c r="F116" s="114"/>
      <c r="G116" s="115"/>
      <c r="H116" s="115"/>
      <c r="I116" s="115"/>
      <c r="J116" s="116"/>
    </row>
    <row r="117" spans="2:12" ht="15.75" thickBot="1" x14ac:dyDescent="0.3">
      <c r="B117" s="117" t="s">
        <v>64</v>
      </c>
      <c r="C117" s="117"/>
      <c r="D117" s="117"/>
      <c r="E117" s="117"/>
      <c r="F117" s="118">
        <f>SUM(F115+F78+F59+F18)</f>
        <v>15974000</v>
      </c>
      <c r="G117" s="119" t="s">
        <v>64</v>
      </c>
      <c r="H117" s="119"/>
      <c r="I117" s="119"/>
      <c r="J117" s="120">
        <f>SUM(J115+J78+J18+J59)</f>
        <v>15703122</v>
      </c>
    </row>
    <row r="118" spans="2:12" ht="15.75" thickBot="1" x14ac:dyDescent="0.3">
      <c r="B118" s="117"/>
      <c r="C118" s="117"/>
      <c r="D118" s="117"/>
      <c r="E118" s="117"/>
      <c r="F118" s="118"/>
      <c r="G118" s="119"/>
      <c r="H118" s="119"/>
      <c r="I118" s="119"/>
      <c r="J118" s="120"/>
      <c r="L118" t="e">
        <f>#REF!+L101+L47+L15</f>
        <v>#REF!</v>
      </c>
    </row>
  </sheetData>
  <mergeCells count="41">
    <mergeCell ref="B117:E118"/>
    <mergeCell ref="F117:F118"/>
    <mergeCell ref="G117:I118"/>
    <mergeCell ref="J117:J118"/>
    <mergeCell ref="B80:J80"/>
    <mergeCell ref="B81:B82"/>
    <mergeCell ref="C81:F81"/>
    <mergeCell ref="G81:J81"/>
    <mergeCell ref="B83:B108"/>
    <mergeCell ref="B115:E116"/>
    <mergeCell ref="F115:F116"/>
    <mergeCell ref="G115:I116"/>
    <mergeCell ref="J115:J116"/>
    <mergeCell ref="B61:J61"/>
    <mergeCell ref="B62:B63"/>
    <mergeCell ref="C62:F62"/>
    <mergeCell ref="G62:J62"/>
    <mergeCell ref="B78:E79"/>
    <mergeCell ref="F78:F79"/>
    <mergeCell ref="G78:I79"/>
    <mergeCell ref="J78:J79"/>
    <mergeCell ref="B21:B22"/>
    <mergeCell ref="C21:F21"/>
    <mergeCell ref="G21:J21"/>
    <mergeCell ref="B23:B58"/>
    <mergeCell ref="B59:E60"/>
    <mergeCell ref="F59:F60"/>
    <mergeCell ref="G59:I60"/>
    <mergeCell ref="J59:J60"/>
    <mergeCell ref="B20:J20"/>
    <mergeCell ref="B1:J6"/>
    <mergeCell ref="B7:J7"/>
    <mergeCell ref="B8:J8"/>
    <mergeCell ref="B9:B10"/>
    <mergeCell ref="C9:F9"/>
    <mergeCell ref="G9:J9"/>
    <mergeCell ref="B11:B17"/>
    <mergeCell ref="B18:E19"/>
    <mergeCell ref="F18:F19"/>
    <mergeCell ref="G18:I19"/>
    <mergeCell ref="J18:J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3633-F37B-4B1D-B2DB-0267EEDC9074}">
  <dimension ref="A1:L113"/>
  <sheetViews>
    <sheetView topLeftCell="A19" workbookViewId="0">
      <selection activeCell="F46" sqref="E46:F49"/>
    </sheetView>
  </sheetViews>
  <sheetFormatPr baseColWidth="10" defaultColWidth="10.5703125" defaultRowHeight="15" x14ac:dyDescent="0.25"/>
  <cols>
    <col min="2" max="2" width="20.28515625" customWidth="1"/>
    <col min="3" max="3" width="24.85546875" customWidth="1"/>
    <col min="5" max="5" width="13.140625" customWidth="1"/>
    <col min="6" max="6" width="14.28515625" customWidth="1"/>
    <col min="7" max="7" width="42.7109375" bestFit="1" customWidth="1"/>
    <col min="9" max="9" width="12" customWidth="1"/>
    <col min="10" max="10" width="16.5703125" customWidth="1"/>
  </cols>
  <sheetData>
    <row r="1" spans="2:12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2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2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2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2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2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</row>
    <row r="7" spans="2:12" ht="15.75" thickBot="1" x14ac:dyDescent="0.3">
      <c r="B7" s="127" t="s">
        <v>416</v>
      </c>
      <c r="C7" s="127"/>
      <c r="D7" s="127"/>
      <c r="E7" s="127"/>
      <c r="F7" s="127"/>
      <c r="G7" s="127"/>
      <c r="H7" s="127"/>
      <c r="I7" s="127"/>
      <c r="J7" s="127"/>
    </row>
    <row r="8" spans="2:12" ht="31.5" customHeight="1" x14ac:dyDescent="0.25">
      <c r="B8" s="121" t="s">
        <v>417</v>
      </c>
      <c r="C8" s="121"/>
      <c r="D8" s="121"/>
      <c r="E8" s="121"/>
      <c r="F8" s="121"/>
      <c r="G8" s="121"/>
      <c r="H8" s="121"/>
      <c r="I8" s="121"/>
      <c r="J8" s="121"/>
    </row>
    <row r="9" spans="2:12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2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</row>
    <row r="11" spans="2:12" ht="30" x14ac:dyDescent="0.25">
      <c r="B11" s="124"/>
      <c r="C11" s="5" t="s">
        <v>75</v>
      </c>
      <c r="D11" s="26">
        <v>500</v>
      </c>
      <c r="E11" s="7">
        <v>30000</v>
      </c>
      <c r="F11" s="8">
        <f>D11*E11</f>
        <v>15000000</v>
      </c>
      <c r="G11" s="9" t="s">
        <v>7</v>
      </c>
      <c r="H11" s="19">
        <v>10</v>
      </c>
      <c r="I11" s="32">
        <v>270000</v>
      </c>
      <c r="J11" s="10">
        <f t="shared" ref="J11:J17" si="0">H11*I11</f>
        <v>2700000</v>
      </c>
      <c r="K11" s="33"/>
    </row>
    <row r="12" spans="2:12" x14ac:dyDescent="0.25">
      <c r="B12" s="124"/>
      <c r="C12" s="11"/>
      <c r="D12" s="25"/>
      <c r="E12" s="13"/>
      <c r="F12" s="8"/>
      <c r="G12" s="9" t="s">
        <v>9</v>
      </c>
      <c r="H12" s="19">
        <v>4</v>
      </c>
      <c r="I12" s="27">
        <v>35000</v>
      </c>
      <c r="J12" s="15">
        <f t="shared" si="0"/>
        <v>140000</v>
      </c>
    </row>
    <row r="13" spans="2:12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19">
        <v>100</v>
      </c>
      <c r="I13" s="27">
        <v>5000</v>
      </c>
      <c r="J13" s="15">
        <f t="shared" si="0"/>
        <v>500000</v>
      </c>
      <c r="K13" s="33">
        <v>1600</v>
      </c>
    </row>
    <row r="14" spans="2:12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19">
        <v>2</v>
      </c>
      <c r="I14" s="27">
        <v>60000</v>
      </c>
      <c r="J14" s="15">
        <f t="shared" si="0"/>
        <v>120000</v>
      </c>
    </row>
    <row r="15" spans="2:12" x14ac:dyDescent="0.25">
      <c r="B15" s="124"/>
      <c r="C15" s="5"/>
      <c r="D15" s="6"/>
      <c r="E15" s="7"/>
      <c r="F15" s="8"/>
      <c r="G15" s="16" t="s">
        <v>65</v>
      </c>
      <c r="H15" s="19">
        <v>12</v>
      </c>
      <c r="I15" s="27">
        <v>38000</v>
      </c>
      <c r="J15" s="15">
        <f t="shared" si="0"/>
        <v>456000</v>
      </c>
      <c r="L15">
        <v>151</v>
      </c>
    </row>
    <row r="16" spans="2:12" x14ac:dyDescent="0.25">
      <c r="B16" s="124"/>
      <c r="C16" s="5"/>
      <c r="D16" s="6"/>
      <c r="E16" s="7"/>
      <c r="F16" s="8"/>
      <c r="G16" s="17" t="s">
        <v>66</v>
      </c>
      <c r="H16" s="19">
        <v>12</v>
      </c>
      <c r="I16" s="28">
        <v>6000</v>
      </c>
      <c r="J16" s="15">
        <f t="shared" si="0"/>
        <v>72000</v>
      </c>
    </row>
    <row r="17" spans="2:10" ht="15.75" x14ac:dyDescent="0.25">
      <c r="B17" s="124"/>
      <c r="C17" s="5"/>
      <c r="D17" s="6"/>
      <c r="E17" s="7"/>
      <c r="F17" s="8"/>
      <c r="G17" s="68"/>
      <c r="H17" s="14"/>
      <c r="I17" s="28"/>
      <c r="J17" s="15">
        <f t="shared" si="0"/>
        <v>0</v>
      </c>
    </row>
    <row r="18" spans="2:10" x14ac:dyDescent="0.25">
      <c r="B18" s="113" t="s">
        <v>12</v>
      </c>
      <c r="C18" s="113"/>
      <c r="D18" s="113"/>
      <c r="E18" s="113"/>
      <c r="F18" s="114">
        <f>SUM(F11:F17)</f>
        <v>15000000</v>
      </c>
      <c r="G18" s="115" t="s">
        <v>12</v>
      </c>
      <c r="H18" s="115"/>
      <c r="I18" s="115"/>
      <c r="J18" s="116">
        <f>SUM(J11:J17)</f>
        <v>3988000</v>
      </c>
    </row>
    <row r="19" spans="2:10" ht="15.75" thickBot="1" x14ac:dyDescent="0.3">
      <c r="B19" s="113"/>
      <c r="C19" s="113"/>
      <c r="D19" s="113"/>
      <c r="E19" s="113"/>
      <c r="F19" s="114"/>
      <c r="G19" s="115"/>
      <c r="H19" s="115"/>
      <c r="I19" s="115"/>
      <c r="J19" s="116"/>
    </row>
    <row r="20" spans="2:10" ht="15" customHeight="1" x14ac:dyDescent="0.25">
      <c r="B20" s="121" t="s">
        <v>324</v>
      </c>
      <c r="C20" s="121"/>
      <c r="D20" s="121"/>
      <c r="E20" s="121"/>
      <c r="F20" s="121"/>
      <c r="G20" s="121"/>
      <c r="H20" s="121"/>
      <c r="I20" s="121"/>
      <c r="J20" s="121"/>
    </row>
    <row r="21" spans="2:10" x14ac:dyDescent="0.25">
      <c r="B21" s="122" t="s">
        <v>0</v>
      </c>
      <c r="C21" s="123" t="s">
        <v>1</v>
      </c>
      <c r="D21" s="123"/>
      <c r="E21" s="123"/>
      <c r="F21" s="123"/>
      <c r="G21" s="112" t="s">
        <v>2</v>
      </c>
      <c r="H21" s="112"/>
      <c r="I21" s="112"/>
      <c r="J21" s="112"/>
    </row>
    <row r="22" spans="2:10" x14ac:dyDescent="0.25">
      <c r="B22" s="122"/>
      <c r="C22" s="2" t="s">
        <v>3</v>
      </c>
      <c r="D22" s="3" t="s">
        <v>4</v>
      </c>
      <c r="E22" s="3" t="s">
        <v>5</v>
      </c>
      <c r="F22" s="3" t="s">
        <v>6</v>
      </c>
      <c r="G22" s="2" t="s">
        <v>3</v>
      </c>
      <c r="H22" s="3" t="s">
        <v>4</v>
      </c>
      <c r="I22" s="3" t="s">
        <v>5</v>
      </c>
      <c r="J22" s="4" t="s">
        <v>6</v>
      </c>
    </row>
    <row r="23" spans="2:10" ht="30" customHeight="1" x14ac:dyDescent="0.25">
      <c r="B23" s="125" t="s">
        <v>13</v>
      </c>
      <c r="C23" s="5" t="s">
        <v>14</v>
      </c>
      <c r="D23" s="6">
        <v>1</v>
      </c>
      <c r="E23" s="7">
        <v>2000000</v>
      </c>
      <c r="F23" s="8">
        <f t="shared" ref="F23:F47" si="1">D23*E23</f>
        <v>2000000</v>
      </c>
      <c r="G23" s="9" t="s">
        <v>15</v>
      </c>
      <c r="H23" s="93">
        <v>1</v>
      </c>
      <c r="I23" s="7">
        <v>1088000</v>
      </c>
      <c r="J23" s="15">
        <f t="shared" ref="J23:J58" si="2">H23*I23</f>
        <v>1088000</v>
      </c>
    </row>
    <row r="24" spans="2:10" x14ac:dyDescent="0.25">
      <c r="B24" s="125"/>
      <c r="C24" s="11" t="s">
        <v>8</v>
      </c>
      <c r="D24" s="12">
        <v>15</v>
      </c>
      <c r="E24" s="13">
        <v>90000</v>
      </c>
      <c r="F24" s="8">
        <f t="shared" si="1"/>
        <v>1350000</v>
      </c>
      <c r="G24" s="17" t="s">
        <v>16</v>
      </c>
      <c r="H24" s="14">
        <v>1</v>
      </c>
      <c r="I24" s="18">
        <v>35000</v>
      </c>
      <c r="J24" s="15">
        <f t="shared" si="2"/>
        <v>35000</v>
      </c>
    </row>
    <row r="25" spans="2:10" x14ac:dyDescent="0.25">
      <c r="B25" s="125"/>
      <c r="C25" s="11"/>
      <c r="D25" s="12"/>
      <c r="E25" s="13"/>
      <c r="F25" s="8"/>
      <c r="G25" s="17" t="s">
        <v>86</v>
      </c>
      <c r="H25" s="14">
        <v>2</v>
      </c>
      <c r="I25" s="18">
        <v>45000</v>
      </c>
      <c r="J25" s="15">
        <f t="shared" si="2"/>
        <v>90000</v>
      </c>
    </row>
    <row r="26" spans="2:10" ht="41.25" customHeight="1" x14ac:dyDescent="0.25">
      <c r="B26" s="125"/>
      <c r="C26" s="95" t="s">
        <v>408</v>
      </c>
      <c r="D26" s="12">
        <v>50</v>
      </c>
      <c r="E26" s="13"/>
      <c r="F26" s="8"/>
      <c r="G26" s="17"/>
      <c r="H26" s="14"/>
      <c r="I26" s="18"/>
      <c r="J26" s="15"/>
    </row>
    <row r="27" spans="2:10" x14ac:dyDescent="0.25">
      <c r="B27" s="125"/>
      <c r="C27" s="5" t="s">
        <v>421</v>
      </c>
      <c r="D27" s="6">
        <v>10</v>
      </c>
      <c r="E27" s="7">
        <v>3000</v>
      </c>
      <c r="F27" s="8">
        <f t="shared" si="1"/>
        <v>30000</v>
      </c>
      <c r="G27" s="17" t="s">
        <v>17</v>
      </c>
      <c r="H27" s="14">
        <v>1</v>
      </c>
      <c r="I27" s="18">
        <v>1333</v>
      </c>
      <c r="J27" s="15">
        <f t="shared" si="2"/>
        <v>1333</v>
      </c>
    </row>
    <row r="28" spans="2:10" ht="15" customHeight="1" x14ac:dyDescent="0.25">
      <c r="B28" s="125"/>
      <c r="C28" s="11" t="s">
        <v>340</v>
      </c>
      <c r="D28" s="11">
        <v>1</v>
      </c>
      <c r="E28" s="8">
        <v>300000</v>
      </c>
      <c r="F28" s="8">
        <f t="shared" si="1"/>
        <v>300000</v>
      </c>
      <c r="G28" s="17" t="s">
        <v>18</v>
      </c>
      <c r="H28" s="14">
        <v>2</v>
      </c>
      <c r="I28" s="18">
        <v>32000</v>
      </c>
      <c r="J28" s="15">
        <f t="shared" si="2"/>
        <v>64000</v>
      </c>
    </row>
    <row r="29" spans="2:10" ht="15" customHeight="1" x14ac:dyDescent="0.25">
      <c r="B29" s="125"/>
      <c r="C29" s="11"/>
      <c r="D29" s="11"/>
      <c r="E29" s="11"/>
      <c r="F29" s="8"/>
      <c r="G29" s="17" t="s">
        <v>325</v>
      </c>
      <c r="H29" s="14">
        <v>1</v>
      </c>
      <c r="I29" s="18">
        <v>40000</v>
      </c>
      <c r="J29" s="15">
        <f t="shared" si="2"/>
        <v>40000</v>
      </c>
    </row>
    <row r="30" spans="2:10" x14ac:dyDescent="0.25">
      <c r="B30" s="125"/>
      <c r="C30" s="5"/>
      <c r="D30" s="6"/>
      <c r="E30" s="7"/>
      <c r="F30" s="8">
        <f t="shared" si="1"/>
        <v>0</v>
      </c>
      <c r="G30" s="17" t="s">
        <v>19</v>
      </c>
      <c r="H30" s="14">
        <v>1</v>
      </c>
      <c r="I30" s="18">
        <v>11000</v>
      </c>
      <c r="J30" s="15">
        <f t="shared" si="2"/>
        <v>11000</v>
      </c>
    </row>
    <row r="31" spans="2:10" x14ac:dyDescent="0.25">
      <c r="B31" s="125"/>
      <c r="C31" s="5"/>
      <c r="D31" s="6"/>
      <c r="E31" s="7"/>
      <c r="F31" s="8"/>
      <c r="G31" s="17" t="s">
        <v>88</v>
      </c>
      <c r="H31" s="14">
        <v>2</v>
      </c>
      <c r="I31" s="18">
        <v>13000</v>
      </c>
      <c r="J31" s="15">
        <f t="shared" si="2"/>
        <v>26000</v>
      </c>
    </row>
    <row r="32" spans="2:10" x14ac:dyDescent="0.25">
      <c r="B32" s="125"/>
      <c r="C32" s="5"/>
      <c r="D32" s="6"/>
      <c r="E32" s="7"/>
      <c r="F32" s="8"/>
      <c r="G32" s="17" t="s">
        <v>403</v>
      </c>
      <c r="H32" s="14">
        <v>3</v>
      </c>
      <c r="I32" s="18">
        <v>5900</v>
      </c>
      <c r="J32" s="15">
        <f t="shared" si="2"/>
        <v>17700</v>
      </c>
    </row>
    <row r="33" spans="2:12" x14ac:dyDescent="0.25">
      <c r="B33" s="125"/>
      <c r="C33" s="5"/>
      <c r="D33" s="6"/>
      <c r="E33" s="7"/>
      <c r="F33" s="8">
        <f t="shared" si="1"/>
        <v>0</v>
      </c>
      <c r="G33" s="17" t="s">
        <v>20</v>
      </c>
      <c r="H33" s="14">
        <v>2</v>
      </c>
      <c r="I33" s="18">
        <v>2000</v>
      </c>
      <c r="J33" s="15">
        <f t="shared" si="2"/>
        <v>4000</v>
      </c>
    </row>
    <row r="34" spans="2:12" x14ac:dyDescent="0.25">
      <c r="B34" s="125"/>
      <c r="C34" s="5"/>
      <c r="D34" s="6"/>
      <c r="E34" s="7"/>
      <c r="F34" s="8"/>
      <c r="G34" s="17" t="s">
        <v>79</v>
      </c>
      <c r="H34" s="14">
        <v>5</v>
      </c>
      <c r="I34" s="18">
        <v>5000</v>
      </c>
      <c r="J34" s="15">
        <f t="shared" si="2"/>
        <v>25000</v>
      </c>
    </row>
    <row r="35" spans="2:12" x14ac:dyDescent="0.25">
      <c r="B35" s="125"/>
      <c r="C35" s="5"/>
      <c r="D35" s="6"/>
      <c r="E35" s="7"/>
      <c r="F35" s="8">
        <f t="shared" si="1"/>
        <v>0</v>
      </c>
      <c r="G35" s="17" t="s">
        <v>21</v>
      </c>
      <c r="H35" s="14">
        <v>2</v>
      </c>
      <c r="I35" s="18">
        <v>1333</v>
      </c>
      <c r="J35" s="15">
        <f t="shared" si="2"/>
        <v>2666</v>
      </c>
    </row>
    <row r="36" spans="2:12" x14ac:dyDescent="0.25">
      <c r="B36" s="125"/>
      <c r="C36" s="5"/>
      <c r="D36" s="6"/>
      <c r="E36" s="7"/>
      <c r="F36" s="8">
        <f t="shared" si="1"/>
        <v>0</v>
      </c>
      <c r="G36" s="17" t="s">
        <v>22</v>
      </c>
      <c r="H36" s="19">
        <v>10</v>
      </c>
      <c r="I36" s="18">
        <v>4000</v>
      </c>
      <c r="J36" s="15">
        <f t="shared" si="2"/>
        <v>40000</v>
      </c>
    </row>
    <row r="37" spans="2:12" x14ac:dyDescent="0.25">
      <c r="B37" s="125"/>
      <c r="C37" s="5"/>
      <c r="D37" s="6"/>
      <c r="E37" s="7"/>
      <c r="F37" s="8"/>
      <c r="G37" s="17" t="s">
        <v>69</v>
      </c>
      <c r="H37" s="19">
        <v>3</v>
      </c>
      <c r="I37" s="18">
        <v>3000</v>
      </c>
      <c r="J37" s="15">
        <f t="shared" si="2"/>
        <v>9000</v>
      </c>
    </row>
    <row r="38" spans="2:12" x14ac:dyDescent="0.25">
      <c r="B38" s="125"/>
      <c r="C38" s="5"/>
      <c r="D38" s="6"/>
      <c r="E38" s="7"/>
      <c r="F38" s="8"/>
      <c r="G38" s="17" t="s">
        <v>23</v>
      </c>
      <c r="H38" s="14">
        <v>6</v>
      </c>
      <c r="I38" s="18">
        <v>2000</v>
      </c>
      <c r="J38" s="15">
        <f t="shared" si="2"/>
        <v>12000</v>
      </c>
    </row>
    <row r="39" spans="2:12" ht="15.75" x14ac:dyDescent="0.25">
      <c r="B39" s="125"/>
      <c r="C39" s="5"/>
      <c r="D39" s="6"/>
      <c r="E39" s="7"/>
      <c r="F39" s="8"/>
      <c r="G39" s="92" t="s">
        <v>358</v>
      </c>
      <c r="H39" s="14">
        <v>3</v>
      </c>
      <c r="I39" s="18"/>
      <c r="J39" s="15"/>
    </row>
    <row r="40" spans="2:12" ht="30" x14ac:dyDescent="0.25">
      <c r="B40" s="125"/>
      <c r="C40" s="5"/>
      <c r="D40" s="6"/>
      <c r="E40" s="7"/>
      <c r="F40" s="8">
        <f t="shared" si="1"/>
        <v>0</v>
      </c>
      <c r="G40" s="17" t="s">
        <v>24</v>
      </c>
      <c r="H40" s="19">
        <v>4</v>
      </c>
      <c r="I40" s="30">
        <v>146667</v>
      </c>
      <c r="J40" s="10">
        <f t="shared" si="2"/>
        <v>586668</v>
      </c>
    </row>
    <row r="41" spans="2:12" ht="30" x14ac:dyDescent="0.25">
      <c r="B41" s="125"/>
      <c r="C41" s="5"/>
      <c r="D41" s="6"/>
      <c r="E41" s="7"/>
      <c r="F41" s="8"/>
      <c r="G41" s="17" t="s">
        <v>70</v>
      </c>
      <c r="H41" s="19">
        <v>2</v>
      </c>
      <c r="I41" s="30">
        <v>200000</v>
      </c>
      <c r="J41" s="10">
        <f t="shared" si="2"/>
        <v>400000</v>
      </c>
    </row>
    <row r="42" spans="2:12" x14ac:dyDescent="0.25">
      <c r="B42" s="125"/>
      <c r="C42" s="5"/>
      <c r="D42" s="6"/>
      <c r="E42" s="7"/>
      <c r="F42" s="8">
        <f t="shared" si="1"/>
        <v>0</v>
      </c>
      <c r="G42" s="17" t="s">
        <v>25</v>
      </c>
      <c r="H42" s="14">
        <v>5</v>
      </c>
      <c r="I42" s="18">
        <v>2000</v>
      </c>
      <c r="J42" s="15">
        <f t="shared" si="2"/>
        <v>10000</v>
      </c>
    </row>
    <row r="43" spans="2:12" x14ac:dyDescent="0.25">
      <c r="B43" s="125"/>
      <c r="C43" s="5"/>
      <c r="D43" s="6"/>
      <c r="E43" s="7"/>
      <c r="F43" s="8">
        <f t="shared" si="1"/>
        <v>0</v>
      </c>
      <c r="G43" s="17" t="s">
        <v>26</v>
      </c>
      <c r="H43" s="14">
        <v>2</v>
      </c>
      <c r="I43" s="18">
        <v>1333</v>
      </c>
      <c r="J43" s="15">
        <f t="shared" si="2"/>
        <v>2666</v>
      </c>
    </row>
    <row r="44" spans="2:12" x14ac:dyDescent="0.25">
      <c r="B44" s="125"/>
      <c r="C44" s="5"/>
      <c r="D44" s="6"/>
      <c r="E44" s="7"/>
      <c r="F44" s="8">
        <f t="shared" si="1"/>
        <v>0</v>
      </c>
      <c r="G44" s="17" t="s">
        <v>27</v>
      </c>
      <c r="H44" s="19">
        <v>5</v>
      </c>
      <c r="I44" s="18">
        <v>38000</v>
      </c>
      <c r="J44" s="15">
        <f t="shared" si="2"/>
        <v>190000</v>
      </c>
    </row>
    <row r="45" spans="2:12" x14ac:dyDescent="0.25">
      <c r="B45" s="125"/>
      <c r="C45" s="5"/>
      <c r="D45" s="6"/>
      <c r="E45" s="7"/>
      <c r="F45" s="8">
        <f t="shared" si="1"/>
        <v>0</v>
      </c>
      <c r="G45" s="17" t="s">
        <v>28</v>
      </c>
      <c r="H45" s="19">
        <v>5</v>
      </c>
      <c r="I45" s="18">
        <v>2700</v>
      </c>
      <c r="J45" s="15">
        <f t="shared" si="2"/>
        <v>13500</v>
      </c>
    </row>
    <row r="46" spans="2:12" x14ac:dyDescent="0.25">
      <c r="B46" s="125"/>
      <c r="C46" s="5"/>
      <c r="D46" s="6"/>
      <c r="E46" s="7"/>
      <c r="F46" s="8"/>
      <c r="G46" s="17" t="s">
        <v>402</v>
      </c>
      <c r="H46" s="19">
        <v>1</v>
      </c>
      <c r="I46" s="18">
        <v>2700</v>
      </c>
      <c r="J46" s="15">
        <f t="shared" si="2"/>
        <v>2700</v>
      </c>
    </row>
    <row r="47" spans="2:12" x14ac:dyDescent="0.25">
      <c r="B47" s="125"/>
      <c r="C47" s="5"/>
      <c r="D47" s="6"/>
      <c r="E47" s="7"/>
      <c r="F47" s="8">
        <f t="shared" si="1"/>
        <v>0</v>
      </c>
      <c r="G47" s="17" t="s">
        <v>80</v>
      </c>
      <c r="H47" s="14">
        <v>2</v>
      </c>
      <c r="I47" s="18">
        <v>16000</v>
      </c>
      <c r="J47" s="15">
        <f t="shared" si="2"/>
        <v>32000</v>
      </c>
      <c r="L47">
        <v>130</v>
      </c>
    </row>
    <row r="48" spans="2:12" x14ac:dyDescent="0.25">
      <c r="B48" s="125"/>
      <c r="C48" s="5"/>
      <c r="D48" s="6"/>
      <c r="E48" s="7"/>
      <c r="F48" s="8"/>
      <c r="G48" s="17" t="s">
        <v>29</v>
      </c>
      <c r="H48" s="14">
        <v>4</v>
      </c>
      <c r="I48" s="18">
        <v>533</v>
      </c>
      <c r="J48" s="15">
        <f t="shared" si="2"/>
        <v>2132</v>
      </c>
    </row>
    <row r="49" spans="2:10" x14ac:dyDescent="0.25">
      <c r="B49" s="125"/>
      <c r="C49" s="5"/>
      <c r="D49" s="6"/>
      <c r="E49" s="7"/>
      <c r="F49" s="8"/>
      <c r="G49" s="17" t="s">
        <v>30</v>
      </c>
      <c r="H49" s="14">
        <v>4</v>
      </c>
      <c r="I49" s="18">
        <v>533</v>
      </c>
      <c r="J49" s="15">
        <f t="shared" si="2"/>
        <v>2132</v>
      </c>
    </row>
    <row r="50" spans="2:10" x14ac:dyDescent="0.25">
      <c r="B50" s="125"/>
      <c r="C50" s="5"/>
      <c r="D50" s="6"/>
      <c r="E50" s="7"/>
      <c r="F50" s="8"/>
      <c r="G50" s="17" t="s">
        <v>326</v>
      </c>
      <c r="H50" s="14">
        <v>1</v>
      </c>
      <c r="I50" s="18">
        <v>5000</v>
      </c>
      <c r="J50" s="15">
        <f t="shared" si="2"/>
        <v>5000</v>
      </c>
    </row>
    <row r="51" spans="2:10" x14ac:dyDescent="0.25">
      <c r="B51" s="125"/>
      <c r="C51" s="5"/>
      <c r="D51" s="6"/>
      <c r="E51" s="7"/>
      <c r="F51" s="8"/>
      <c r="G51" s="17" t="s">
        <v>327</v>
      </c>
      <c r="H51" s="14">
        <v>1</v>
      </c>
      <c r="I51" s="18">
        <v>5000</v>
      </c>
      <c r="J51" s="15">
        <f t="shared" si="2"/>
        <v>5000</v>
      </c>
    </row>
    <row r="52" spans="2:10" x14ac:dyDescent="0.25">
      <c r="B52" s="125"/>
      <c r="C52" s="5"/>
      <c r="D52" s="6"/>
      <c r="E52" s="7"/>
      <c r="F52" s="8"/>
      <c r="G52" s="17" t="s">
        <v>328</v>
      </c>
      <c r="H52" s="14">
        <v>1</v>
      </c>
      <c r="I52" s="18">
        <v>3000</v>
      </c>
      <c r="J52" s="15">
        <f t="shared" si="2"/>
        <v>3000</v>
      </c>
    </row>
    <row r="53" spans="2:10" x14ac:dyDescent="0.25">
      <c r="B53" s="125"/>
      <c r="C53" s="5"/>
      <c r="D53" s="6"/>
      <c r="E53" s="7"/>
      <c r="F53" s="8"/>
      <c r="G53" s="17" t="s">
        <v>31</v>
      </c>
      <c r="H53" s="14">
        <v>4</v>
      </c>
      <c r="I53" s="18">
        <v>3000</v>
      </c>
      <c r="J53" s="15">
        <f t="shared" si="2"/>
        <v>12000</v>
      </c>
    </row>
    <row r="54" spans="2:10" x14ac:dyDescent="0.25">
      <c r="B54" s="125"/>
      <c r="C54" s="5"/>
      <c r="D54" s="6"/>
      <c r="E54" s="7"/>
      <c r="F54" s="8">
        <f>D54*E54</f>
        <v>0</v>
      </c>
      <c r="G54" s="17" t="s">
        <v>400</v>
      </c>
      <c r="H54" s="14">
        <v>20</v>
      </c>
      <c r="I54" s="18">
        <v>5333</v>
      </c>
      <c r="J54" s="15">
        <f t="shared" si="2"/>
        <v>106660</v>
      </c>
    </row>
    <row r="55" spans="2:10" x14ac:dyDescent="0.25">
      <c r="B55" s="125"/>
      <c r="C55" s="5"/>
      <c r="D55" s="6"/>
      <c r="E55" s="7"/>
      <c r="F55" s="8"/>
      <c r="G55" s="17" t="s">
        <v>32</v>
      </c>
      <c r="H55" s="14">
        <v>1</v>
      </c>
      <c r="I55" s="18">
        <v>160000</v>
      </c>
      <c r="J55" s="15">
        <f t="shared" si="2"/>
        <v>160000</v>
      </c>
    </row>
    <row r="56" spans="2:10" ht="15.75" customHeight="1" x14ac:dyDescent="0.25">
      <c r="B56" s="125"/>
      <c r="C56" s="5"/>
      <c r="D56" s="6"/>
      <c r="E56" s="7"/>
      <c r="F56" s="8"/>
      <c r="G56" s="16" t="s">
        <v>33</v>
      </c>
      <c r="H56" s="14">
        <v>2</v>
      </c>
      <c r="I56" s="18">
        <v>53333</v>
      </c>
      <c r="J56" s="15">
        <f t="shared" si="2"/>
        <v>106666</v>
      </c>
    </row>
    <row r="57" spans="2:10" ht="33" customHeight="1" x14ac:dyDescent="0.25">
      <c r="B57" s="125"/>
      <c r="C57" s="5"/>
      <c r="D57" s="6"/>
      <c r="E57" s="7"/>
      <c r="F57" s="8"/>
      <c r="G57" s="16" t="s">
        <v>78</v>
      </c>
      <c r="H57" s="14">
        <v>1</v>
      </c>
      <c r="I57" s="18">
        <v>3633300</v>
      </c>
      <c r="J57" s="15">
        <f t="shared" si="2"/>
        <v>3633300</v>
      </c>
    </row>
    <row r="58" spans="2:10" x14ac:dyDescent="0.25">
      <c r="B58" s="125"/>
      <c r="C58" s="5"/>
      <c r="D58" s="6"/>
      <c r="E58" s="7"/>
      <c r="F58" s="8"/>
      <c r="G58" s="17" t="s">
        <v>34</v>
      </c>
      <c r="H58" s="14">
        <v>20</v>
      </c>
      <c r="I58" s="18">
        <v>20000</v>
      </c>
      <c r="J58" s="15">
        <f t="shared" si="2"/>
        <v>400000</v>
      </c>
    </row>
    <row r="59" spans="2:10" x14ac:dyDescent="0.25">
      <c r="B59" s="113" t="s">
        <v>12</v>
      </c>
      <c r="C59" s="113"/>
      <c r="D59" s="113"/>
      <c r="E59" s="113"/>
      <c r="F59" s="114">
        <f>SUM(F23:F55)</f>
        <v>3680000</v>
      </c>
      <c r="G59" s="115" t="s">
        <v>12</v>
      </c>
      <c r="H59" s="115"/>
      <c r="I59" s="115"/>
      <c r="J59" s="116">
        <f>SUM(J23:J58)</f>
        <v>7139123</v>
      </c>
    </row>
    <row r="60" spans="2:10" ht="15.75" thickBot="1" x14ac:dyDescent="0.3">
      <c r="B60" s="113"/>
      <c r="C60" s="113"/>
      <c r="D60" s="113"/>
      <c r="E60" s="113"/>
      <c r="F60" s="114"/>
      <c r="G60" s="115"/>
      <c r="H60" s="115"/>
      <c r="I60" s="115"/>
      <c r="J60" s="116"/>
    </row>
    <row r="61" spans="2:10" ht="15" customHeight="1" x14ac:dyDescent="0.25">
      <c r="B61" s="121" t="s">
        <v>418</v>
      </c>
      <c r="C61" s="121"/>
      <c r="D61" s="121"/>
      <c r="E61" s="121"/>
      <c r="F61" s="121"/>
      <c r="G61" s="121"/>
      <c r="H61" s="121"/>
      <c r="I61" s="121"/>
      <c r="J61" s="121"/>
    </row>
    <row r="62" spans="2:10" x14ac:dyDescent="0.25">
      <c r="B62" s="122" t="s">
        <v>0</v>
      </c>
      <c r="C62" s="123" t="s">
        <v>1</v>
      </c>
      <c r="D62" s="123"/>
      <c r="E62" s="123"/>
      <c r="F62" s="123"/>
      <c r="G62" s="112" t="s">
        <v>2</v>
      </c>
      <c r="H62" s="112"/>
      <c r="I62" s="112"/>
      <c r="J62" s="112"/>
    </row>
    <row r="63" spans="2:10" x14ac:dyDescent="0.25">
      <c r="B63" s="122"/>
      <c r="C63" s="2" t="s">
        <v>3</v>
      </c>
      <c r="D63" s="3" t="s">
        <v>4</v>
      </c>
      <c r="E63" s="3" t="s">
        <v>5</v>
      </c>
      <c r="F63" s="3" t="s">
        <v>6</v>
      </c>
      <c r="G63" s="2" t="s">
        <v>3</v>
      </c>
      <c r="H63" s="3" t="s">
        <v>4</v>
      </c>
      <c r="I63" s="3" t="s">
        <v>5</v>
      </c>
      <c r="J63" s="4" t="s">
        <v>6</v>
      </c>
    </row>
    <row r="64" spans="2:10" x14ac:dyDescent="0.25">
      <c r="B64" s="2"/>
      <c r="C64" s="2"/>
      <c r="D64" s="3"/>
      <c r="E64" s="3"/>
      <c r="F64" s="21"/>
      <c r="G64" s="96" t="s">
        <v>419</v>
      </c>
      <c r="H64" s="72">
        <v>85</v>
      </c>
      <c r="I64" s="18">
        <v>1500</v>
      </c>
      <c r="J64" s="15">
        <f t="shared" ref="J64:J75" si="3">H64*I64</f>
        <v>127500</v>
      </c>
    </row>
    <row r="65" spans="2:10" x14ac:dyDescent="0.25">
      <c r="B65" s="20"/>
      <c r="C65" s="5" t="s">
        <v>8</v>
      </c>
      <c r="D65" s="6">
        <v>5</v>
      </c>
      <c r="E65" s="7">
        <v>90000</v>
      </c>
      <c r="F65" s="8">
        <f>D65*E65</f>
        <v>450000</v>
      </c>
      <c r="G65" s="97" t="s">
        <v>36</v>
      </c>
      <c r="H65" s="72">
        <v>85</v>
      </c>
      <c r="I65" s="18">
        <v>1500</v>
      </c>
      <c r="J65" s="15">
        <f t="shared" si="3"/>
        <v>127500</v>
      </c>
    </row>
    <row r="66" spans="2:10" x14ac:dyDescent="0.25">
      <c r="B66" s="20"/>
      <c r="C66" s="5"/>
      <c r="D66" s="6"/>
      <c r="E66" s="7"/>
      <c r="F66" s="8">
        <f t="shared" ref="F66:F68" si="4">D66*E66</f>
        <v>0</v>
      </c>
      <c r="G66" s="97" t="s">
        <v>411</v>
      </c>
      <c r="H66" s="72">
        <v>85</v>
      </c>
      <c r="I66" s="18">
        <v>1500</v>
      </c>
      <c r="J66" s="15">
        <f t="shared" si="3"/>
        <v>127500</v>
      </c>
    </row>
    <row r="67" spans="2:10" x14ac:dyDescent="0.25">
      <c r="B67" s="20"/>
      <c r="C67" s="5" t="s">
        <v>337</v>
      </c>
      <c r="D67" s="6">
        <v>100</v>
      </c>
      <c r="E67" s="7">
        <v>1500</v>
      </c>
      <c r="F67" s="8">
        <f t="shared" si="4"/>
        <v>150000</v>
      </c>
      <c r="G67" s="17" t="s">
        <v>331</v>
      </c>
      <c r="H67" s="72">
        <v>85</v>
      </c>
      <c r="I67" s="18">
        <v>1500</v>
      </c>
      <c r="J67" s="15">
        <f>H67*I67</f>
        <v>127500</v>
      </c>
    </row>
    <row r="68" spans="2:10" ht="45" x14ac:dyDescent="0.25">
      <c r="B68" s="20"/>
      <c r="C68" s="98" t="s">
        <v>412</v>
      </c>
      <c r="D68" s="6"/>
      <c r="E68" s="7"/>
      <c r="F68" s="8">
        <f t="shared" si="4"/>
        <v>0</v>
      </c>
      <c r="G68" s="17" t="s">
        <v>330</v>
      </c>
      <c r="H68" s="72">
        <v>85</v>
      </c>
      <c r="I68" s="18">
        <v>1500</v>
      </c>
      <c r="J68" s="15">
        <f>H68*I68</f>
        <v>127500</v>
      </c>
    </row>
    <row r="69" spans="2:10" x14ac:dyDescent="0.25">
      <c r="B69" s="20"/>
      <c r="C69" s="5"/>
      <c r="D69" s="6"/>
      <c r="E69" s="7"/>
      <c r="F69" s="8"/>
      <c r="G69" s="97" t="s">
        <v>420</v>
      </c>
      <c r="H69" s="72">
        <v>85</v>
      </c>
      <c r="I69" s="18">
        <v>1500</v>
      </c>
      <c r="J69" s="15">
        <f>H69*I69</f>
        <v>127500</v>
      </c>
    </row>
    <row r="70" spans="2:10" x14ac:dyDescent="0.25">
      <c r="B70" s="20"/>
      <c r="C70" s="5"/>
      <c r="D70" s="6"/>
      <c r="E70" s="7"/>
      <c r="F70" s="8"/>
      <c r="G70" s="17" t="s">
        <v>422</v>
      </c>
      <c r="H70" s="29">
        <v>85</v>
      </c>
      <c r="I70" s="18">
        <v>1500</v>
      </c>
      <c r="J70" s="15">
        <f t="shared" si="3"/>
        <v>127500</v>
      </c>
    </row>
    <row r="71" spans="2:10" x14ac:dyDescent="0.25">
      <c r="B71" s="20"/>
      <c r="C71" s="5"/>
      <c r="D71" s="6"/>
      <c r="E71" s="7"/>
      <c r="F71" s="8"/>
      <c r="G71" s="17"/>
      <c r="H71" s="29"/>
      <c r="I71" s="18"/>
      <c r="J71" s="15">
        <f t="shared" si="3"/>
        <v>0</v>
      </c>
    </row>
    <row r="72" spans="2:10" x14ac:dyDescent="0.25">
      <c r="B72" s="20"/>
      <c r="C72" s="5"/>
      <c r="D72" s="6"/>
      <c r="E72" s="7"/>
      <c r="F72" s="8"/>
      <c r="G72" s="17"/>
      <c r="H72" s="29"/>
      <c r="I72" s="18"/>
      <c r="J72" s="15">
        <f t="shared" si="3"/>
        <v>0</v>
      </c>
    </row>
    <row r="73" spans="2:10" x14ac:dyDescent="0.25">
      <c r="B73" s="20"/>
      <c r="C73" s="5"/>
      <c r="D73" s="6"/>
      <c r="E73" s="7"/>
      <c r="F73" s="8"/>
      <c r="G73" s="17"/>
      <c r="H73" s="29"/>
      <c r="I73" s="18"/>
      <c r="J73" s="15">
        <f t="shared" si="3"/>
        <v>0</v>
      </c>
    </row>
    <row r="74" spans="2:10" x14ac:dyDescent="0.25">
      <c r="B74" s="20"/>
      <c r="C74" s="5"/>
      <c r="D74" s="6"/>
      <c r="E74" s="7"/>
      <c r="F74" s="8"/>
      <c r="G74" s="17"/>
      <c r="H74" s="29"/>
      <c r="I74" s="18"/>
      <c r="J74" s="15">
        <f t="shared" si="3"/>
        <v>0</v>
      </c>
    </row>
    <row r="75" spans="2:10" x14ac:dyDescent="0.25">
      <c r="B75" s="22"/>
      <c r="C75" s="5"/>
      <c r="D75" s="6"/>
      <c r="E75" s="7"/>
      <c r="F75" s="8"/>
      <c r="J75" s="15">
        <f t="shared" si="3"/>
        <v>0</v>
      </c>
    </row>
    <row r="76" spans="2:10" x14ac:dyDescent="0.25">
      <c r="B76" s="113" t="s">
        <v>12</v>
      </c>
      <c r="C76" s="113"/>
      <c r="D76" s="113"/>
      <c r="E76" s="113"/>
      <c r="F76" s="114">
        <f>SUM(F65:F75)</f>
        <v>600000</v>
      </c>
      <c r="G76" s="115" t="s">
        <v>12</v>
      </c>
      <c r="H76" s="115"/>
      <c r="I76" s="115"/>
      <c r="J76" s="116">
        <f>SUM(J64:J75)</f>
        <v>892500</v>
      </c>
    </row>
    <row r="77" spans="2:10" ht="15.75" thickBot="1" x14ac:dyDescent="0.3">
      <c r="B77" s="113"/>
      <c r="C77" s="113"/>
      <c r="D77" s="113"/>
      <c r="E77" s="113"/>
      <c r="F77" s="114"/>
      <c r="G77" s="115"/>
      <c r="H77" s="115"/>
      <c r="I77" s="115"/>
      <c r="J77" s="116"/>
    </row>
    <row r="78" spans="2:10" ht="14.85" customHeight="1" x14ac:dyDescent="0.25">
      <c r="B78" s="121" t="s">
        <v>413</v>
      </c>
      <c r="C78" s="121"/>
      <c r="D78" s="121"/>
      <c r="E78" s="121"/>
      <c r="F78" s="121"/>
      <c r="G78" s="121"/>
      <c r="H78" s="121"/>
      <c r="I78" s="121"/>
      <c r="J78" s="121"/>
    </row>
    <row r="79" spans="2:10" x14ac:dyDescent="0.25">
      <c r="B79" s="122" t="s">
        <v>0</v>
      </c>
      <c r="C79" s="123" t="s">
        <v>1</v>
      </c>
      <c r="D79" s="123"/>
      <c r="E79" s="123"/>
      <c r="F79" s="123"/>
      <c r="G79" s="112" t="s">
        <v>2</v>
      </c>
      <c r="H79" s="112"/>
      <c r="I79" s="112"/>
      <c r="J79" s="112"/>
    </row>
    <row r="80" spans="2:10" x14ac:dyDescent="0.25">
      <c r="B80" s="122"/>
      <c r="C80" s="2" t="s">
        <v>3</v>
      </c>
      <c r="D80" s="3" t="s">
        <v>4</v>
      </c>
      <c r="E80" s="3" t="s">
        <v>5</v>
      </c>
      <c r="F80" s="3" t="s">
        <v>6</v>
      </c>
      <c r="G80" s="2" t="s">
        <v>3</v>
      </c>
      <c r="H80" s="3" t="s">
        <v>4</v>
      </c>
      <c r="I80" s="3" t="s">
        <v>5</v>
      </c>
      <c r="J80" s="4" t="s">
        <v>6</v>
      </c>
    </row>
    <row r="81" spans="1:12" x14ac:dyDescent="0.25">
      <c r="B81" s="124"/>
      <c r="C81" s="5" t="s">
        <v>43</v>
      </c>
      <c r="D81" s="6">
        <v>100</v>
      </c>
      <c r="E81" s="7">
        <v>5000</v>
      </c>
      <c r="F81" s="8">
        <f t="shared" ref="F81:F83" si="5">D81*E81</f>
        <v>500000</v>
      </c>
      <c r="G81" s="23" t="s">
        <v>42</v>
      </c>
      <c r="H81" s="6">
        <v>4</v>
      </c>
      <c r="I81" s="7">
        <v>15000</v>
      </c>
      <c r="J81" s="15">
        <f t="shared" ref="J81:J108" si="6">H81*I81</f>
        <v>60000</v>
      </c>
    </row>
    <row r="82" spans="1:12" x14ac:dyDescent="0.25">
      <c r="B82" s="124"/>
      <c r="C82" s="5" t="s">
        <v>45</v>
      </c>
      <c r="D82" s="12">
        <v>30</v>
      </c>
      <c r="E82" s="13"/>
      <c r="F82" s="8">
        <f t="shared" si="5"/>
        <v>0</v>
      </c>
      <c r="G82" s="23" t="s">
        <v>44</v>
      </c>
      <c r="H82" s="14">
        <v>5</v>
      </c>
      <c r="I82" s="7">
        <v>15000</v>
      </c>
      <c r="J82" s="15">
        <f t="shared" si="6"/>
        <v>75000</v>
      </c>
    </row>
    <row r="83" spans="1:12" x14ac:dyDescent="0.25">
      <c r="B83" s="124"/>
      <c r="C83" s="5" t="s">
        <v>46</v>
      </c>
      <c r="D83" s="6">
        <v>100</v>
      </c>
      <c r="E83" s="7">
        <v>5000</v>
      </c>
      <c r="F83" s="8">
        <f t="shared" si="5"/>
        <v>500000</v>
      </c>
      <c r="G83" s="23" t="s">
        <v>76</v>
      </c>
      <c r="H83" s="14">
        <v>10</v>
      </c>
      <c r="I83" s="7">
        <v>15000</v>
      </c>
      <c r="J83" s="15">
        <f t="shared" si="6"/>
        <v>150000</v>
      </c>
    </row>
    <row r="84" spans="1:12" x14ac:dyDescent="0.25">
      <c r="A84">
        <v>540</v>
      </c>
      <c r="B84" s="124"/>
      <c r="C84" s="5" t="s">
        <v>414</v>
      </c>
      <c r="D84" s="14">
        <v>3</v>
      </c>
      <c r="E84" s="18">
        <v>5000</v>
      </c>
      <c r="F84" s="8"/>
      <c r="G84" s="23" t="s">
        <v>47</v>
      </c>
      <c r="H84" s="14">
        <v>5</v>
      </c>
      <c r="I84" s="7">
        <v>15000</v>
      </c>
      <c r="J84" s="15">
        <f t="shared" si="6"/>
        <v>75000</v>
      </c>
    </row>
    <row r="85" spans="1:12" x14ac:dyDescent="0.25">
      <c r="B85" s="124"/>
      <c r="C85" s="5" t="s">
        <v>415</v>
      </c>
      <c r="D85" s="6">
        <v>10</v>
      </c>
      <c r="E85" s="7">
        <v>90000</v>
      </c>
      <c r="G85" s="23" t="s">
        <v>49</v>
      </c>
      <c r="H85" s="14">
        <v>5</v>
      </c>
      <c r="I85" s="7">
        <v>3000</v>
      </c>
      <c r="J85" s="15">
        <f t="shared" si="6"/>
        <v>15000</v>
      </c>
    </row>
    <row r="86" spans="1:12" x14ac:dyDescent="0.25">
      <c r="B86" s="124"/>
      <c r="F86" s="8"/>
      <c r="G86" s="23" t="s">
        <v>50</v>
      </c>
      <c r="H86" s="14">
        <v>5</v>
      </c>
      <c r="I86" s="18">
        <v>15000</v>
      </c>
      <c r="J86" s="15">
        <f t="shared" ref="J86:J87" si="7">H85*I85</f>
        <v>15000</v>
      </c>
    </row>
    <row r="87" spans="1:12" x14ac:dyDescent="0.25">
      <c r="B87" s="124"/>
      <c r="C87" s="5" t="s">
        <v>8</v>
      </c>
      <c r="D87" s="14">
        <v>5</v>
      </c>
      <c r="E87" s="18">
        <v>5000</v>
      </c>
      <c r="F87" s="8"/>
      <c r="G87" s="23" t="s">
        <v>52</v>
      </c>
      <c r="H87" s="14">
        <v>5</v>
      </c>
      <c r="I87" s="18">
        <v>8000</v>
      </c>
      <c r="J87" s="15">
        <f t="shared" si="7"/>
        <v>75000</v>
      </c>
    </row>
    <row r="88" spans="1:12" x14ac:dyDescent="0.25">
      <c r="B88" s="124"/>
      <c r="D88" s="6"/>
      <c r="E88" s="7"/>
      <c r="F88" s="8"/>
      <c r="G88" s="23"/>
      <c r="H88" s="14"/>
      <c r="I88" s="18"/>
      <c r="J88" s="15"/>
    </row>
    <row r="89" spans="1:12" x14ac:dyDescent="0.25">
      <c r="B89" s="124"/>
      <c r="D89" s="6"/>
      <c r="E89" s="7"/>
      <c r="F89" s="8"/>
      <c r="G89" s="23" t="s">
        <v>55</v>
      </c>
      <c r="H89" s="14">
        <v>1</v>
      </c>
      <c r="I89" s="18">
        <v>194000</v>
      </c>
      <c r="J89" s="15">
        <f t="shared" si="6"/>
        <v>194000</v>
      </c>
    </row>
    <row r="90" spans="1:12" x14ac:dyDescent="0.25">
      <c r="B90" s="124"/>
      <c r="C90" s="5"/>
      <c r="D90" s="6"/>
      <c r="E90" s="7"/>
      <c r="F90" s="8"/>
      <c r="G90" s="23" t="s">
        <v>56</v>
      </c>
      <c r="H90" s="94">
        <v>2</v>
      </c>
      <c r="I90" s="18">
        <v>8667</v>
      </c>
      <c r="J90" s="15">
        <f t="shared" si="6"/>
        <v>17334</v>
      </c>
    </row>
    <row r="91" spans="1:12" x14ac:dyDescent="0.25">
      <c r="B91" s="124"/>
      <c r="C91" s="5"/>
      <c r="D91" s="6"/>
      <c r="E91" s="7"/>
      <c r="F91" s="8"/>
      <c r="G91" s="23" t="s">
        <v>57</v>
      </c>
      <c r="H91" s="94">
        <v>2</v>
      </c>
      <c r="I91" s="18">
        <v>13333</v>
      </c>
      <c r="J91" s="15">
        <f t="shared" si="6"/>
        <v>26666</v>
      </c>
    </row>
    <row r="92" spans="1:12" x14ac:dyDescent="0.25">
      <c r="B92" s="124"/>
      <c r="C92" s="5"/>
      <c r="D92" s="6"/>
      <c r="E92" s="7"/>
      <c r="F92" s="8"/>
      <c r="G92" s="23" t="s">
        <v>67</v>
      </c>
      <c r="H92" s="94">
        <v>1</v>
      </c>
      <c r="I92" s="18">
        <v>42667</v>
      </c>
      <c r="J92" s="15">
        <f t="shared" si="6"/>
        <v>42667</v>
      </c>
    </row>
    <row r="93" spans="1:12" x14ac:dyDescent="0.25">
      <c r="B93" s="124"/>
      <c r="C93" s="5"/>
      <c r="D93" s="6"/>
      <c r="E93" s="7"/>
      <c r="F93" s="8"/>
      <c r="G93" s="23" t="s">
        <v>68</v>
      </c>
      <c r="H93" s="94">
        <v>1</v>
      </c>
      <c r="I93" s="18">
        <v>13333</v>
      </c>
      <c r="J93" s="15">
        <f t="shared" si="6"/>
        <v>13333</v>
      </c>
    </row>
    <row r="94" spans="1:12" x14ac:dyDescent="0.25">
      <c r="B94" s="124"/>
      <c r="C94" s="5"/>
      <c r="D94" s="6"/>
      <c r="E94" s="7"/>
      <c r="F94" s="8"/>
      <c r="G94" s="23" t="s">
        <v>90</v>
      </c>
      <c r="H94" s="94">
        <v>1</v>
      </c>
      <c r="I94" s="18">
        <v>7333</v>
      </c>
      <c r="J94" s="15">
        <f t="shared" si="6"/>
        <v>7333</v>
      </c>
    </row>
    <row r="95" spans="1:12" x14ac:dyDescent="0.25">
      <c r="B95" s="124"/>
      <c r="C95" s="5"/>
      <c r="D95" s="6"/>
      <c r="E95" s="7"/>
      <c r="F95" s="8"/>
      <c r="G95" s="23" t="s">
        <v>82</v>
      </c>
      <c r="H95" s="94">
        <v>1</v>
      </c>
      <c r="I95" s="18">
        <v>12000</v>
      </c>
      <c r="J95" s="15">
        <f t="shared" si="6"/>
        <v>12000</v>
      </c>
    </row>
    <row r="96" spans="1:12" x14ac:dyDescent="0.25">
      <c r="B96" s="124"/>
      <c r="C96" s="5"/>
      <c r="D96" s="6"/>
      <c r="E96" s="7"/>
      <c r="F96" s="8"/>
      <c r="G96" s="23" t="s">
        <v>58</v>
      </c>
      <c r="H96" s="94">
        <v>2</v>
      </c>
      <c r="I96" s="18">
        <v>7333</v>
      </c>
      <c r="J96" s="15">
        <f t="shared" si="6"/>
        <v>14666</v>
      </c>
      <c r="L96">
        <v>29</v>
      </c>
    </row>
    <row r="97" spans="2:10" x14ac:dyDescent="0.25">
      <c r="B97" s="124"/>
      <c r="C97" s="5"/>
      <c r="D97" s="6"/>
      <c r="E97" s="7"/>
      <c r="F97" s="8"/>
      <c r="G97" s="23" t="s">
        <v>91</v>
      </c>
      <c r="H97" s="94">
        <v>2</v>
      </c>
      <c r="I97" s="18">
        <v>18000</v>
      </c>
      <c r="J97" s="15">
        <f t="shared" si="6"/>
        <v>36000</v>
      </c>
    </row>
    <row r="98" spans="2:10" x14ac:dyDescent="0.25">
      <c r="B98" s="124"/>
      <c r="C98" s="5"/>
      <c r="D98" s="6"/>
      <c r="E98" s="7"/>
      <c r="F98" s="8"/>
      <c r="G98" s="23" t="s">
        <v>89</v>
      </c>
      <c r="H98" s="94">
        <v>1</v>
      </c>
      <c r="I98" s="18">
        <v>70000</v>
      </c>
      <c r="J98" s="15">
        <f t="shared" si="6"/>
        <v>70000</v>
      </c>
    </row>
    <row r="99" spans="2:10" x14ac:dyDescent="0.25">
      <c r="B99" s="124"/>
      <c r="C99" s="5"/>
      <c r="D99" s="6"/>
      <c r="E99" s="7"/>
      <c r="F99" s="8"/>
      <c r="G99" s="11" t="s">
        <v>83</v>
      </c>
      <c r="H99" s="12">
        <v>1</v>
      </c>
      <c r="I99" s="18">
        <v>70000</v>
      </c>
      <c r="J99" s="15">
        <f t="shared" si="6"/>
        <v>70000</v>
      </c>
    </row>
    <row r="100" spans="2:10" x14ac:dyDescent="0.25">
      <c r="B100" s="124"/>
      <c r="C100" s="5"/>
      <c r="D100" s="6"/>
      <c r="E100" s="7"/>
      <c r="F100" s="8"/>
      <c r="G100" s="11" t="s">
        <v>84</v>
      </c>
      <c r="H100" s="12">
        <v>1</v>
      </c>
      <c r="I100" s="18">
        <v>12000</v>
      </c>
      <c r="J100" s="15">
        <f t="shared" si="6"/>
        <v>12000</v>
      </c>
    </row>
    <row r="101" spans="2:10" x14ac:dyDescent="0.25">
      <c r="B101" s="124"/>
      <c r="C101" s="5"/>
      <c r="D101" s="6"/>
      <c r="E101" s="7"/>
      <c r="F101" s="8"/>
      <c r="G101" s="23" t="s">
        <v>59</v>
      </c>
      <c r="H101" s="14">
        <v>2</v>
      </c>
      <c r="I101" s="18">
        <v>16000</v>
      </c>
      <c r="J101" s="15">
        <f t="shared" si="6"/>
        <v>32000</v>
      </c>
    </row>
    <row r="102" spans="2:10" x14ac:dyDescent="0.25">
      <c r="B102" s="124"/>
      <c r="C102" s="5"/>
      <c r="D102" s="6"/>
      <c r="E102" s="7"/>
      <c r="F102" s="8"/>
      <c r="G102" s="23" t="s">
        <v>60</v>
      </c>
      <c r="H102" s="14">
        <v>1</v>
      </c>
      <c r="I102" s="18">
        <v>40000</v>
      </c>
      <c r="J102" s="15">
        <f t="shared" si="6"/>
        <v>40000</v>
      </c>
    </row>
    <row r="103" spans="2:10" x14ac:dyDescent="0.25">
      <c r="B103" s="124"/>
      <c r="C103" s="11"/>
      <c r="D103" s="11"/>
      <c r="E103" s="11"/>
      <c r="F103" s="8"/>
      <c r="G103" s="11" t="s">
        <v>61</v>
      </c>
      <c r="H103" s="6">
        <v>3</v>
      </c>
      <c r="I103" s="18">
        <v>42000</v>
      </c>
      <c r="J103" s="15">
        <f t="shared" si="6"/>
        <v>126000</v>
      </c>
    </row>
    <row r="104" spans="2:10" x14ac:dyDescent="0.25">
      <c r="B104" s="24"/>
      <c r="C104" s="11"/>
      <c r="D104" s="11"/>
      <c r="E104" s="11"/>
      <c r="F104" s="8"/>
      <c r="G104" s="11" t="s">
        <v>62</v>
      </c>
      <c r="H104" s="6">
        <v>1</v>
      </c>
      <c r="I104" s="18">
        <v>40000</v>
      </c>
      <c r="J104" s="15">
        <f t="shared" si="6"/>
        <v>40000</v>
      </c>
    </row>
    <row r="105" spans="2:10" x14ac:dyDescent="0.25">
      <c r="B105" s="24"/>
      <c r="C105" s="11"/>
      <c r="D105" s="11"/>
      <c r="E105" s="11"/>
      <c r="F105" s="8"/>
      <c r="G105" s="11" t="s">
        <v>87</v>
      </c>
      <c r="H105" s="6">
        <v>1</v>
      </c>
      <c r="I105" s="18">
        <v>80000</v>
      </c>
      <c r="J105" s="15">
        <f t="shared" si="6"/>
        <v>80000</v>
      </c>
    </row>
    <row r="106" spans="2:10" x14ac:dyDescent="0.25">
      <c r="B106" s="24"/>
      <c r="C106" s="11"/>
      <c r="D106" s="11"/>
      <c r="E106" s="11"/>
      <c r="F106" s="8"/>
      <c r="G106" s="11" t="s">
        <v>63</v>
      </c>
      <c r="H106" s="6">
        <v>1</v>
      </c>
      <c r="I106" s="18">
        <v>70000</v>
      </c>
      <c r="J106" s="15">
        <f t="shared" si="6"/>
        <v>70000</v>
      </c>
    </row>
    <row r="107" spans="2:10" x14ac:dyDescent="0.25">
      <c r="B107" s="24"/>
      <c r="C107" s="74"/>
      <c r="D107" s="74"/>
      <c r="E107" s="74"/>
      <c r="F107" s="8"/>
      <c r="G107" s="11" t="s">
        <v>338</v>
      </c>
      <c r="H107" s="6">
        <v>2</v>
      </c>
      <c r="I107" s="18">
        <v>40000</v>
      </c>
      <c r="J107" s="15">
        <f t="shared" si="6"/>
        <v>80000</v>
      </c>
    </row>
    <row r="108" spans="2:10" x14ac:dyDescent="0.25">
      <c r="B108" s="24"/>
      <c r="C108" s="74"/>
      <c r="D108" s="74"/>
      <c r="E108" s="74"/>
      <c r="F108" s="8"/>
      <c r="G108" s="11" t="s">
        <v>85</v>
      </c>
      <c r="H108" s="6">
        <v>2</v>
      </c>
      <c r="I108" s="18">
        <v>50000</v>
      </c>
      <c r="J108" s="15">
        <f t="shared" si="6"/>
        <v>100000</v>
      </c>
    </row>
    <row r="109" spans="2:10" x14ac:dyDescent="0.25">
      <c r="B109" s="24"/>
      <c r="C109" s="74"/>
      <c r="D109" s="74"/>
      <c r="E109" s="74"/>
      <c r="F109" s="8"/>
      <c r="G109" s="11" t="s">
        <v>339</v>
      </c>
      <c r="H109" s="6"/>
      <c r="I109" s="18"/>
      <c r="J109" s="15"/>
    </row>
    <row r="110" spans="2:10" x14ac:dyDescent="0.25">
      <c r="B110" s="113" t="s">
        <v>12</v>
      </c>
      <c r="C110" s="113"/>
      <c r="D110" s="113"/>
      <c r="E110" s="113"/>
      <c r="F110" s="114">
        <f>SUM(F81:F103)</f>
        <v>1000000</v>
      </c>
      <c r="G110" s="115" t="s">
        <v>12</v>
      </c>
      <c r="H110" s="115"/>
      <c r="I110" s="115"/>
      <c r="J110" s="116">
        <f>SUM(J81:J109)</f>
        <v>1548999</v>
      </c>
    </row>
    <row r="111" spans="2:10" x14ac:dyDescent="0.25">
      <c r="B111" s="113"/>
      <c r="C111" s="113"/>
      <c r="D111" s="113"/>
      <c r="E111" s="113"/>
      <c r="F111" s="114"/>
      <c r="G111" s="115"/>
      <c r="H111" s="115"/>
      <c r="I111" s="115"/>
      <c r="J111" s="116"/>
    </row>
    <row r="112" spans="2:10" ht="15.75" thickBot="1" x14ac:dyDescent="0.3">
      <c r="B112" s="117" t="s">
        <v>64</v>
      </c>
      <c r="C112" s="117"/>
      <c r="D112" s="117"/>
      <c r="E112" s="117"/>
      <c r="F112" s="118">
        <f>SUM(F110+F76+F59+F18)</f>
        <v>20280000</v>
      </c>
      <c r="G112" s="119" t="s">
        <v>64</v>
      </c>
      <c r="H112" s="119"/>
      <c r="I112" s="119"/>
      <c r="J112" s="120">
        <f>SUM(J110+J76+J18+J59)</f>
        <v>13568622</v>
      </c>
    </row>
    <row r="113" spans="2:12" ht="15.75" thickBot="1" x14ac:dyDescent="0.3">
      <c r="B113" s="117"/>
      <c r="C113" s="117"/>
      <c r="D113" s="117"/>
      <c r="E113" s="117"/>
      <c r="F113" s="118"/>
      <c r="G113" s="119"/>
      <c r="H113" s="119"/>
      <c r="I113" s="119"/>
      <c r="J113" s="120"/>
      <c r="L113" t="e">
        <f>#REF!+L96+L47+L15</f>
        <v>#REF!</v>
      </c>
    </row>
  </sheetData>
  <mergeCells count="41">
    <mergeCell ref="B20:J20"/>
    <mergeCell ref="B1:J6"/>
    <mergeCell ref="B7:J7"/>
    <mergeCell ref="B8:J8"/>
    <mergeCell ref="B9:B10"/>
    <mergeCell ref="C9:F9"/>
    <mergeCell ref="G9:J9"/>
    <mergeCell ref="B11:B17"/>
    <mergeCell ref="B18:E19"/>
    <mergeCell ref="F18:F19"/>
    <mergeCell ref="G18:I19"/>
    <mergeCell ref="J18:J19"/>
    <mergeCell ref="B21:B22"/>
    <mergeCell ref="C21:F21"/>
    <mergeCell ref="G21:J21"/>
    <mergeCell ref="B23:B58"/>
    <mergeCell ref="B59:E60"/>
    <mergeCell ref="F59:F60"/>
    <mergeCell ref="G59:I60"/>
    <mergeCell ref="J59:J60"/>
    <mergeCell ref="B61:J61"/>
    <mergeCell ref="B62:B63"/>
    <mergeCell ref="C62:F62"/>
    <mergeCell ref="G62:J62"/>
    <mergeCell ref="B76:E77"/>
    <mergeCell ref="F76:F77"/>
    <mergeCell ref="G76:I77"/>
    <mergeCell ref="J76:J77"/>
    <mergeCell ref="B112:E113"/>
    <mergeCell ref="F112:F113"/>
    <mergeCell ref="G112:I113"/>
    <mergeCell ref="J112:J113"/>
    <mergeCell ref="B78:J78"/>
    <mergeCell ref="B79:B80"/>
    <mergeCell ref="C79:F79"/>
    <mergeCell ref="G79:J79"/>
    <mergeCell ref="B81:B103"/>
    <mergeCell ref="B110:E111"/>
    <mergeCell ref="F110:F111"/>
    <mergeCell ref="G110:I111"/>
    <mergeCell ref="J110:J1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B1BF-1143-4349-B235-231621B2C607}">
  <dimension ref="A1:M133"/>
  <sheetViews>
    <sheetView topLeftCell="C122" workbookViewId="0">
      <selection activeCell="G92" sqref="G92"/>
    </sheetView>
  </sheetViews>
  <sheetFormatPr baseColWidth="10" defaultColWidth="10.5703125" defaultRowHeight="15" x14ac:dyDescent="0.25"/>
  <cols>
    <col min="2" max="2" width="20.28515625" customWidth="1"/>
    <col min="3" max="3" width="27" customWidth="1"/>
    <col min="5" max="5" width="13.140625" customWidth="1"/>
    <col min="6" max="6" width="14.28515625" customWidth="1"/>
    <col min="7" max="7" width="42.7109375" bestFit="1" customWidth="1"/>
    <col min="9" max="9" width="12" customWidth="1"/>
    <col min="10" max="10" width="16.5703125" customWidth="1"/>
  </cols>
  <sheetData>
    <row r="1" spans="2:12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2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2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2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2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2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</row>
    <row r="7" spans="2:12" ht="15.75" thickBot="1" x14ac:dyDescent="0.3">
      <c r="B7" s="127" t="s">
        <v>446</v>
      </c>
      <c r="C7" s="127"/>
      <c r="D7" s="127"/>
      <c r="E7" s="127"/>
      <c r="F7" s="127"/>
      <c r="G7" s="127"/>
      <c r="H7" s="127"/>
      <c r="I7" s="127"/>
      <c r="J7" s="127"/>
      <c r="K7" s="80" t="s">
        <v>454</v>
      </c>
    </row>
    <row r="8" spans="2:12" ht="31.5" customHeight="1" x14ac:dyDescent="0.25">
      <c r="B8" s="121" t="s">
        <v>423</v>
      </c>
      <c r="C8" s="121"/>
      <c r="D8" s="121"/>
      <c r="E8" s="121"/>
      <c r="F8" s="121"/>
      <c r="G8" s="121"/>
      <c r="H8" s="121"/>
      <c r="I8" s="121"/>
      <c r="J8" s="121"/>
    </row>
    <row r="9" spans="2:12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2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</row>
    <row r="11" spans="2:12" ht="30" x14ac:dyDescent="0.25">
      <c r="B11" s="124"/>
      <c r="C11" s="5" t="s">
        <v>75</v>
      </c>
      <c r="D11" s="26">
        <v>300</v>
      </c>
      <c r="E11" s="7">
        <v>30000</v>
      </c>
      <c r="F11" s="8">
        <f>D11*E11</f>
        <v>9000000</v>
      </c>
      <c r="G11" s="9" t="s">
        <v>7</v>
      </c>
      <c r="H11" s="19">
        <v>10</v>
      </c>
      <c r="I11" s="32">
        <v>270000</v>
      </c>
      <c r="J11" s="10">
        <f t="shared" ref="J11:J20" si="0">H11*I11</f>
        <v>2700000</v>
      </c>
      <c r="K11">
        <v>1300</v>
      </c>
      <c r="L11" t="s">
        <v>442</v>
      </c>
    </row>
    <row r="12" spans="2:12" x14ac:dyDescent="0.25">
      <c r="B12" s="124"/>
      <c r="C12" s="11"/>
      <c r="D12" s="25"/>
      <c r="E12" s="13"/>
      <c r="F12" s="8"/>
      <c r="G12" s="9" t="s">
        <v>9</v>
      </c>
      <c r="H12" s="19">
        <v>4</v>
      </c>
      <c r="I12" s="27">
        <v>35000</v>
      </c>
      <c r="J12" s="15">
        <f t="shared" si="0"/>
        <v>140000</v>
      </c>
    </row>
    <row r="13" spans="2:12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19">
        <v>70</v>
      </c>
      <c r="I13" s="27">
        <v>5000</v>
      </c>
      <c r="J13" s="15">
        <f t="shared" si="0"/>
        <v>350000</v>
      </c>
      <c r="K13">
        <f>K11*5</f>
        <v>6500</v>
      </c>
    </row>
    <row r="14" spans="2:12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19">
        <v>2</v>
      </c>
      <c r="I14" s="27">
        <v>60000</v>
      </c>
      <c r="J14" s="15">
        <f t="shared" si="0"/>
        <v>120000</v>
      </c>
    </row>
    <row r="15" spans="2:12" x14ac:dyDescent="0.25">
      <c r="B15" s="124"/>
      <c r="C15" s="5"/>
      <c r="D15" s="6"/>
      <c r="E15" s="7"/>
      <c r="F15" s="8"/>
      <c r="G15" s="16" t="s">
        <v>65</v>
      </c>
      <c r="H15" s="19">
        <v>12</v>
      </c>
      <c r="I15" s="27">
        <v>38000</v>
      </c>
      <c r="J15" s="15">
        <f t="shared" si="0"/>
        <v>456000</v>
      </c>
      <c r="K15" s="33">
        <v>483</v>
      </c>
      <c r="L15">
        <v>151</v>
      </c>
    </row>
    <row r="16" spans="2:12" x14ac:dyDescent="0.25">
      <c r="B16" s="124"/>
      <c r="C16" s="5"/>
      <c r="D16" s="6"/>
      <c r="E16" s="7"/>
      <c r="F16" s="8"/>
      <c r="G16" s="17" t="s">
        <v>66</v>
      </c>
      <c r="H16" s="19">
        <v>12</v>
      </c>
      <c r="I16" s="28">
        <v>6000</v>
      </c>
      <c r="J16" s="15">
        <f t="shared" si="0"/>
        <v>72000</v>
      </c>
      <c r="K16">
        <v>331</v>
      </c>
    </row>
    <row r="17" spans="2:13" x14ac:dyDescent="0.25">
      <c r="B17" s="124"/>
      <c r="C17" s="5"/>
      <c r="D17" s="6"/>
      <c r="E17" s="7"/>
      <c r="F17" s="8"/>
      <c r="G17" s="17" t="str">
        <f>General!A40</f>
        <v>Bateria Solar 55 AMP</v>
      </c>
      <c r="H17" s="14">
        <v>1</v>
      </c>
      <c r="I17" s="28">
        <v>600000</v>
      </c>
      <c r="J17" s="15">
        <f t="shared" si="0"/>
        <v>600000</v>
      </c>
    </row>
    <row r="18" spans="2:13" x14ac:dyDescent="0.25">
      <c r="B18" s="124"/>
      <c r="C18" s="5"/>
      <c r="D18" s="6"/>
      <c r="E18" s="7"/>
      <c r="F18" s="8"/>
      <c r="G18" s="17"/>
      <c r="H18" s="19"/>
      <c r="I18" s="28"/>
      <c r="J18" s="15">
        <f t="shared" si="0"/>
        <v>0</v>
      </c>
    </row>
    <row r="19" spans="2:13" x14ac:dyDescent="0.25">
      <c r="B19" s="124"/>
      <c r="C19" s="5"/>
      <c r="D19" s="6"/>
      <c r="E19" s="7"/>
      <c r="F19" s="8"/>
      <c r="G19" s="17"/>
      <c r="H19" s="19"/>
      <c r="I19" s="28"/>
      <c r="J19" s="15">
        <f t="shared" si="0"/>
        <v>0</v>
      </c>
    </row>
    <row r="20" spans="2:13" ht="15.75" x14ac:dyDescent="0.25">
      <c r="B20" s="124"/>
      <c r="C20" s="5"/>
      <c r="D20" s="6"/>
      <c r="E20" s="7"/>
      <c r="F20" s="8"/>
      <c r="G20" s="68"/>
      <c r="H20" s="14"/>
      <c r="I20" s="28"/>
      <c r="J20" s="15">
        <f t="shared" si="0"/>
        <v>0</v>
      </c>
      <c r="K20" s="33">
        <f>120*4</f>
        <v>480</v>
      </c>
    </row>
    <row r="21" spans="2:13" x14ac:dyDescent="0.25">
      <c r="B21" s="113" t="s">
        <v>12</v>
      </c>
      <c r="C21" s="113"/>
      <c r="D21" s="113"/>
      <c r="E21" s="113"/>
      <c r="F21" s="114">
        <f>SUM(F11:F20)</f>
        <v>9000000</v>
      </c>
      <c r="G21" s="115" t="s">
        <v>12</v>
      </c>
      <c r="H21" s="115"/>
      <c r="I21" s="115"/>
      <c r="J21" s="116">
        <f>SUM(J11:J20)</f>
        <v>4438000</v>
      </c>
      <c r="M21">
        <f>K11/8</f>
        <v>162.5</v>
      </c>
    </row>
    <row r="22" spans="2:13" ht="15.75" thickBot="1" x14ac:dyDescent="0.3">
      <c r="B22" s="113"/>
      <c r="C22" s="113"/>
      <c r="D22" s="113"/>
      <c r="E22" s="113"/>
      <c r="F22" s="114"/>
      <c r="G22" s="115"/>
      <c r="H22" s="115"/>
      <c r="I22" s="115"/>
      <c r="J22" s="116"/>
    </row>
    <row r="23" spans="2:13" ht="15" customHeight="1" x14ac:dyDescent="0.25">
      <c r="B23" s="121" t="s">
        <v>324</v>
      </c>
      <c r="C23" s="121"/>
      <c r="D23" s="121"/>
      <c r="E23" s="121"/>
      <c r="F23" s="121"/>
      <c r="G23" s="121"/>
      <c r="H23" s="121"/>
      <c r="I23" s="121"/>
      <c r="J23" s="121"/>
    </row>
    <row r="24" spans="2:13" x14ac:dyDescent="0.25">
      <c r="B24" s="122" t="s">
        <v>0</v>
      </c>
      <c r="C24" s="123" t="s">
        <v>1</v>
      </c>
      <c r="D24" s="123"/>
      <c r="E24" s="123"/>
      <c r="F24" s="123"/>
      <c r="G24" s="112" t="s">
        <v>2</v>
      </c>
      <c r="H24" s="112"/>
      <c r="I24" s="112"/>
      <c r="J24" s="112"/>
    </row>
    <row r="25" spans="2:13" x14ac:dyDescent="0.25">
      <c r="B25" s="122"/>
      <c r="C25" s="2" t="s">
        <v>3</v>
      </c>
      <c r="D25" s="3" t="s">
        <v>4</v>
      </c>
      <c r="E25" s="3" t="s">
        <v>5</v>
      </c>
      <c r="F25" s="3" t="s">
        <v>6</v>
      </c>
      <c r="G25" s="2" t="s">
        <v>3</v>
      </c>
      <c r="H25" s="3" t="s">
        <v>4</v>
      </c>
      <c r="I25" s="3" t="s">
        <v>5</v>
      </c>
      <c r="J25" s="4" t="s">
        <v>6</v>
      </c>
    </row>
    <row r="26" spans="2:13" ht="30" customHeight="1" x14ac:dyDescent="0.25">
      <c r="B26" s="125" t="s">
        <v>13</v>
      </c>
      <c r="C26" s="5" t="s">
        <v>14</v>
      </c>
      <c r="D26" s="6">
        <v>1</v>
      </c>
      <c r="E26" s="7">
        <v>2000000</v>
      </c>
      <c r="F26" s="8">
        <f t="shared" ref="F26:F50" si="1">D26*E26</f>
        <v>2000000</v>
      </c>
      <c r="G26" s="9" t="s">
        <v>15</v>
      </c>
      <c r="H26" s="93">
        <v>1</v>
      </c>
      <c r="I26" s="7">
        <v>1088000</v>
      </c>
      <c r="J26" s="15">
        <f t="shared" ref="J26:J61" si="2">H26*I26</f>
        <v>1088000</v>
      </c>
    </row>
    <row r="27" spans="2:13" x14ac:dyDescent="0.25">
      <c r="B27" s="125"/>
      <c r="C27" s="11" t="s">
        <v>8</v>
      </c>
      <c r="D27" s="12">
        <v>15</v>
      </c>
      <c r="E27" s="13">
        <v>90000</v>
      </c>
      <c r="F27" s="8">
        <f t="shared" si="1"/>
        <v>1350000</v>
      </c>
      <c r="G27" s="17" t="s">
        <v>16</v>
      </c>
      <c r="H27" s="14">
        <v>1</v>
      </c>
      <c r="I27" s="18">
        <v>35000</v>
      </c>
      <c r="J27" s="15">
        <f t="shared" si="2"/>
        <v>35000</v>
      </c>
    </row>
    <row r="28" spans="2:13" x14ac:dyDescent="0.25">
      <c r="B28" s="125"/>
      <c r="C28" s="11"/>
      <c r="D28" s="12"/>
      <c r="E28" s="13"/>
      <c r="F28" s="8"/>
      <c r="G28" s="17" t="s">
        <v>86</v>
      </c>
      <c r="H28" s="14">
        <v>2</v>
      </c>
      <c r="I28" s="18">
        <v>45000</v>
      </c>
      <c r="J28" s="15">
        <f t="shared" si="2"/>
        <v>90000</v>
      </c>
    </row>
    <row r="29" spans="2:13" ht="41.25" customHeight="1" x14ac:dyDescent="0.25">
      <c r="B29" s="125"/>
      <c r="C29" s="95" t="s">
        <v>408</v>
      </c>
      <c r="D29" s="12">
        <v>50</v>
      </c>
      <c r="E29" s="13"/>
      <c r="F29" s="8"/>
      <c r="G29" s="17"/>
      <c r="H29" s="14"/>
      <c r="I29" s="18"/>
      <c r="J29" s="15"/>
    </row>
    <row r="30" spans="2:13" x14ac:dyDescent="0.25">
      <c r="B30" s="125"/>
      <c r="C30" s="5" t="s">
        <v>421</v>
      </c>
      <c r="D30" s="6">
        <v>10</v>
      </c>
      <c r="E30" s="7">
        <v>3000</v>
      </c>
      <c r="F30" s="8">
        <f t="shared" si="1"/>
        <v>30000</v>
      </c>
      <c r="G30" s="17" t="s">
        <v>17</v>
      </c>
      <c r="H30" s="14">
        <v>1</v>
      </c>
      <c r="I30" s="18">
        <v>1333</v>
      </c>
      <c r="J30" s="15">
        <f t="shared" si="2"/>
        <v>1333</v>
      </c>
    </row>
    <row r="31" spans="2:13" ht="15" customHeight="1" x14ac:dyDescent="0.25">
      <c r="B31" s="125"/>
      <c r="C31" s="11" t="s">
        <v>340</v>
      </c>
      <c r="D31" s="11">
        <v>1</v>
      </c>
      <c r="E31" s="8">
        <v>300000</v>
      </c>
      <c r="F31" s="8">
        <f t="shared" si="1"/>
        <v>300000</v>
      </c>
      <c r="G31" s="17" t="s">
        <v>18</v>
      </c>
      <c r="H31" s="14">
        <v>2</v>
      </c>
      <c r="I31" s="18">
        <v>32000</v>
      </c>
      <c r="J31" s="15">
        <f t="shared" si="2"/>
        <v>64000</v>
      </c>
    </row>
    <row r="32" spans="2:13" ht="15" customHeight="1" x14ac:dyDescent="0.25">
      <c r="B32" s="125"/>
      <c r="C32" s="11"/>
      <c r="D32" s="11"/>
      <c r="E32" s="11"/>
      <c r="F32" s="8"/>
      <c r="G32" s="17" t="s">
        <v>325</v>
      </c>
      <c r="H32" s="14">
        <v>1</v>
      </c>
      <c r="I32" s="18">
        <v>40000</v>
      </c>
      <c r="J32" s="15">
        <f t="shared" si="2"/>
        <v>40000</v>
      </c>
    </row>
    <row r="33" spans="2:10" x14ac:dyDescent="0.25">
      <c r="B33" s="125"/>
      <c r="C33" s="5"/>
      <c r="D33" s="6"/>
      <c r="E33" s="7"/>
      <c r="F33" s="8">
        <f t="shared" si="1"/>
        <v>0</v>
      </c>
      <c r="G33" s="17" t="s">
        <v>19</v>
      </c>
      <c r="H33" s="14">
        <v>1</v>
      </c>
      <c r="I33" s="18">
        <v>11000</v>
      </c>
      <c r="J33" s="15">
        <f t="shared" si="2"/>
        <v>11000</v>
      </c>
    </row>
    <row r="34" spans="2:10" x14ac:dyDescent="0.25">
      <c r="B34" s="125"/>
      <c r="C34" s="5"/>
      <c r="D34" s="6"/>
      <c r="E34" s="7"/>
      <c r="F34" s="8"/>
      <c r="G34" s="17" t="s">
        <v>88</v>
      </c>
      <c r="H34" s="14">
        <v>2</v>
      </c>
      <c r="I34" s="18">
        <v>13000</v>
      </c>
      <c r="J34" s="15">
        <f t="shared" si="2"/>
        <v>26000</v>
      </c>
    </row>
    <row r="35" spans="2:10" x14ac:dyDescent="0.25">
      <c r="B35" s="125"/>
      <c r="C35" s="5"/>
      <c r="D35" s="6"/>
      <c r="E35" s="7"/>
      <c r="F35" s="8"/>
      <c r="G35" s="17" t="s">
        <v>403</v>
      </c>
      <c r="H35" s="14">
        <v>3</v>
      </c>
      <c r="I35" s="18">
        <v>5900</v>
      </c>
      <c r="J35" s="15">
        <f t="shared" si="2"/>
        <v>17700</v>
      </c>
    </row>
    <row r="36" spans="2:10" x14ac:dyDescent="0.25">
      <c r="B36" s="125"/>
      <c r="C36" s="5"/>
      <c r="D36" s="6"/>
      <c r="E36" s="7"/>
      <c r="F36" s="8">
        <f t="shared" si="1"/>
        <v>0</v>
      </c>
      <c r="G36" s="17" t="s">
        <v>20</v>
      </c>
      <c r="H36" s="14">
        <v>2</v>
      </c>
      <c r="I36" s="18">
        <v>2000</v>
      </c>
      <c r="J36" s="15">
        <f t="shared" si="2"/>
        <v>4000</v>
      </c>
    </row>
    <row r="37" spans="2:10" x14ac:dyDescent="0.25">
      <c r="B37" s="125"/>
      <c r="C37" s="5"/>
      <c r="D37" s="6"/>
      <c r="E37" s="7"/>
      <c r="F37" s="8"/>
      <c r="G37" s="17" t="s">
        <v>79</v>
      </c>
      <c r="H37" s="14">
        <v>5</v>
      </c>
      <c r="I37" s="18">
        <v>5000</v>
      </c>
      <c r="J37" s="15">
        <f t="shared" si="2"/>
        <v>25000</v>
      </c>
    </row>
    <row r="38" spans="2:10" x14ac:dyDescent="0.25">
      <c r="B38" s="125"/>
      <c r="C38" s="5"/>
      <c r="D38" s="6"/>
      <c r="E38" s="7"/>
      <c r="F38" s="8">
        <f t="shared" si="1"/>
        <v>0</v>
      </c>
      <c r="G38" s="17" t="s">
        <v>21</v>
      </c>
      <c r="H38" s="14">
        <v>2</v>
      </c>
      <c r="I38" s="18">
        <v>1333</v>
      </c>
      <c r="J38" s="15">
        <f t="shared" si="2"/>
        <v>2666</v>
      </c>
    </row>
    <row r="39" spans="2:10" x14ac:dyDescent="0.25">
      <c r="B39" s="125"/>
      <c r="C39" s="5"/>
      <c r="D39" s="6"/>
      <c r="E39" s="7"/>
      <c r="F39" s="8">
        <f t="shared" si="1"/>
        <v>0</v>
      </c>
      <c r="G39" s="17" t="s">
        <v>22</v>
      </c>
      <c r="H39" s="19">
        <v>10</v>
      </c>
      <c r="I39" s="18">
        <v>4000</v>
      </c>
      <c r="J39" s="15">
        <f t="shared" si="2"/>
        <v>40000</v>
      </c>
    </row>
    <row r="40" spans="2:10" x14ac:dyDescent="0.25">
      <c r="B40" s="125"/>
      <c r="C40" s="5"/>
      <c r="D40" s="6"/>
      <c r="E40" s="7"/>
      <c r="F40" s="8"/>
      <c r="G40" s="17" t="s">
        <v>69</v>
      </c>
      <c r="H40" s="19">
        <v>3</v>
      </c>
      <c r="I40" s="18">
        <v>3000</v>
      </c>
      <c r="J40" s="15">
        <f t="shared" si="2"/>
        <v>9000</v>
      </c>
    </row>
    <row r="41" spans="2:10" x14ac:dyDescent="0.25">
      <c r="B41" s="125"/>
      <c r="C41" s="5"/>
      <c r="D41" s="6"/>
      <c r="E41" s="7"/>
      <c r="F41" s="8"/>
      <c r="G41" s="17" t="s">
        <v>23</v>
      </c>
      <c r="H41" s="14">
        <v>6</v>
      </c>
      <c r="I41" s="18">
        <v>2000</v>
      </c>
      <c r="J41" s="15">
        <f t="shared" si="2"/>
        <v>12000</v>
      </c>
    </row>
    <row r="42" spans="2:10" ht="15.75" x14ac:dyDescent="0.25">
      <c r="B42" s="125"/>
      <c r="C42" s="5"/>
      <c r="D42" s="6"/>
      <c r="E42" s="7"/>
      <c r="F42" s="8"/>
      <c r="G42" s="92" t="s">
        <v>358</v>
      </c>
      <c r="H42" s="14">
        <v>3</v>
      </c>
      <c r="I42" s="18"/>
      <c r="J42" s="15"/>
    </row>
    <row r="43" spans="2:10" ht="30" x14ac:dyDescent="0.25">
      <c r="B43" s="125"/>
      <c r="C43" s="5"/>
      <c r="D43" s="6"/>
      <c r="E43" s="7"/>
      <c r="F43" s="8">
        <f t="shared" si="1"/>
        <v>0</v>
      </c>
      <c r="G43" s="17" t="s">
        <v>24</v>
      </c>
      <c r="H43" s="19">
        <v>4</v>
      </c>
      <c r="I43" s="30">
        <v>146667</v>
      </c>
      <c r="J43" s="10">
        <f t="shared" si="2"/>
        <v>586668</v>
      </c>
    </row>
    <row r="44" spans="2:10" ht="30" x14ac:dyDescent="0.25">
      <c r="B44" s="125"/>
      <c r="C44" s="5"/>
      <c r="D44" s="6"/>
      <c r="E44" s="7"/>
      <c r="F44" s="8"/>
      <c r="G44" s="17" t="s">
        <v>70</v>
      </c>
      <c r="H44" s="69">
        <v>2</v>
      </c>
      <c r="I44" s="30">
        <v>200000</v>
      </c>
      <c r="J44" s="10">
        <f t="shared" si="2"/>
        <v>400000</v>
      </c>
    </row>
    <row r="45" spans="2:10" x14ac:dyDescent="0.25">
      <c r="B45" s="125"/>
      <c r="C45" s="5"/>
      <c r="D45" s="6"/>
      <c r="E45" s="7"/>
      <c r="F45" s="8">
        <f t="shared" si="1"/>
        <v>0</v>
      </c>
      <c r="G45" s="17" t="s">
        <v>25</v>
      </c>
      <c r="H45" s="14">
        <v>5</v>
      </c>
      <c r="I45" s="18">
        <v>2000</v>
      </c>
      <c r="J45" s="15">
        <f t="shared" si="2"/>
        <v>10000</v>
      </c>
    </row>
    <row r="46" spans="2:10" x14ac:dyDescent="0.25">
      <c r="B46" s="125"/>
      <c r="C46" s="5"/>
      <c r="D46" s="6"/>
      <c r="E46" s="7"/>
      <c r="F46" s="8">
        <f t="shared" si="1"/>
        <v>0</v>
      </c>
      <c r="G46" s="17" t="s">
        <v>26</v>
      </c>
      <c r="H46" s="14">
        <v>2</v>
      </c>
      <c r="I46" s="18">
        <v>1333</v>
      </c>
      <c r="J46" s="15">
        <f t="shared" si="2"/>
        <v>2666</v>
      </c>
    </row>
    <row r="47" spans="2:10" x14ac:dyDescent="0.25">
      <c r="B47" s="125"/>
      <c r="C47" s="5"/>
      <c r="D47" s="6"/>
      <c r="E47" s="7"/>
      <c r="F47" s="8">
        <f t="shared" si="1"/>
        <v>0</v>
      </c>
      <c r="G47" s="17" t="s">
        <v>27</v>
      </c>
      <c r="H47" s="19">
        <v>5</v>
      </c>
      <c r="I47" s="18">
        <v>38000</v>
      </c>
      <c r="J47" s="15">
        <f t="shared" si="2"/>
        <v>190000</v>
      </c>
    </row>
    <row r="48" spans="2:10" x14ac:dyDescent="0.25">
      <c r="B48" s="125"/>
      <c r="C48" s="5"/>
      <c r="D48" s="6"/>
      <c r="E48" s="7"/>
      <c r="F48" s="8">
        <f t="shared" si="1"/>
        <v>0</v>
      </c>
      <c r="G48" s="17" t="s">
        <v>28</v>
      </c>
      <c r="H48" s="19">
        <v>5</v>
      </c>
      <c r="I48" s="18">
        <v>2700</v>
      </c>
      <c r="J48" s="15">
        <f t="shared" si="2"/>
        <v>13500</v>
      </c>
    </row>
    <row r="49" spans="2:12" x14ac:dyDescent="0.25">
      <c r="B49" s="125"/>
      <c r="C49" s="5"/>
      <c r="D49" s="6"/>
      <c r="E49" s="7"/>
      <c r="F49" s="8"/>
      <c r="G49" s="17" t="s">
        <v>402</v>
      </c>
      <c r="H49" s="19">
        <v>1</v>
      </c>
      <c r="I49" s="18">
        <v>2700</v>
      </c>
      <c r="J49" s="15">
        <f t="shared" si="2"/>
        <v>2700</v>
      </c>
    </row>
    <row r="50" spans="2:12" x14ac:dyDescent="0.25">
      <c r="B50" s="125"/>
      <c r="C50" s="5"/>
      <c r="D50" s="6"/>
      <c r="E50" s="7"/>
      <c r="F50" s="8">
        <f t="shared" si="1"/>
        <v>0</v>
      </c>
      <c r="G50" s="17" t="s">
        <v>80</v>
      </c>
      <c r="H50" s="14">
        <v>2</v>
      </c>
      <c r="I50" s="18">
        <v>16000</v>
      </c>
      <c r="J50" s="15">
        <f t="shared" si="2"/>
        <v>32000</v>
      </c>
      <c r="L50">
        <v>130</v>
      </c>
    </row>
    <row r="51" spans="2:12" x14ac:dyDescent="0.25">
      <c r="B51" s="125"/>
      <c r="C51" s="5"/>
      <c r="D51" s="6"/>
      <c r="E51" s="7"/>
      <c r="F51" s="8"/>
      <c r="G51" s="17" t="s">
        <v>29</v>
      </c>
      <c r="H51" s="14">
        <v>4</v>
      </c>
      <c r="I51" s="18">
        <v>533</v>
      </c>
      <c r="J51" s="15">
        <f t="shared" si="2"/>
        <v>2132</v>
      </c>
    </row>
    <row r="52" spans="2:12" x14ac:dyDescent="0.25">
      <c r="B52" s="125"/>
      <c r="C52" s="5"/>
      <c r="D52" s="6"/>
      <c r="E52" s="7"/>
      <c r="F52" s="8"/>
      <c r="G52" s="17" t="s">
        <v>30</v>
      </c>
      <c r="H52" s="14">
        <v>4</v>
      </c>
      <c r="I52" s="18">
        <v>533</v>
      </c>
      <c r="J52" s="15">
        <f t="shared" si="2"/>
        <v>2132</v>
      </c>
    </row>
    <row r="53" spans="2:12" x14ac:dyDescent="0.25">
      <c r="B53" s="125"/>
      <c r="C53" s="5"/>
      <c r="D53" s="6"/>
      <c r="E53" s="7"/>
      <c r="F53" s="8"/>
      <c r="G53" s="17" t="s">
        <v>326</v>
      </c>
      <c r="H53" s="14">
        <v>1</v>
      </c>
      <c r="I53" s="18">
        <v>5000</v>
      </c>
      <c r="J53" s="15">
        <f t="shared" si="2"/>
        <v>5000</v>
      </c>
    </row>
    <row r="54" spans="2:12" x14ac:dyDescent="0.25">
      <c r="B54" s="125"/>
      <c r="C54" s="5"/>
      <c r="D54" s="6"/>
      <c r="E54" s="7"/>
      <c r="F54" s="8"/>
      <c r="G54" s="17" t="s">
        <v>327</v>
      </c>
      <c r="H54" s="14">
        <v>1</v>
      </c>
      <c r="I54" s="18">
        <v>5000</v>
      </c>
      <c r="J54" s="15">
        <f t="shared" si="2"/>
        <v>5000</v>
      </c>
    </row>
    <row r="55" spans="2:12" x14ac:dyDescent="0.25">
      <c r="B55" s="125"/>
      <c r="C55" s="5"/>
      <c r="D55" s="6"/>
      <c r="E55" s="7"/>
      <c r="F55" s="8"/>
      <c r="G55" s="17" t="s">
        <v>328</v>
      </c>
      <c r="H55" s="14">
        <v>1</v>
      </c>
      <c r="I55" s="18">
        <v>3000</v>
      </c>
      <c r="J55" s="15">
        <f t="shared" si="2"/>
        <v>3000</v>
      </c>
    </row>
    <row r="56" spans="2:12" x14ac:dyDescent="0.25">
      <c r="B56" s="125"/>
      <c r="C56" s="5"/>
      <c r="D56" s="6"/>
      <c r="E56" s="7"/>
      <c r="F56" s="8"/>
      <c r="G56" s="17" t="s">
        <v>31</v>
      </c>
      <c r="H56" s="14">
        <v>4</v>
      </c>
      <c r="I56" s="18">
        <v>3000</v>
      </c>
      <c r="J56" s="15">
        <f t="shared" si="2"/>
        <v>12000</v>
      </c>
    </row>
    <row r="57" spans="2:12" x14ac:dyDescent="0.25">
      <c r="B57" s="125"/>
      <c r="C57" s="5"/>
      <c r="D57" s="6"/>
      <c r="E57" s="7"/>
      <c r="F57" s="8">
        <f>D57*E57</f>
        <v>0</v>
      </c>
      <c r="G57" s="17" t="s">
        <v>400</v>
      </c>
      <c r="H57" s="14">
        <v>20</v>
      </c>
      <c r="I57" s="18">
        <v>5333</v>
      </c>
      <c r="J57" s="15">
        <f t="shared" si="2"/>
        <v>106660</v>
      </c>
    </row>
    <row r="58" spans="2:12" x14ac:dyDescent="0.25">
      <c r="B58" s="125"/>
      <c r="C58" s="5"/>
      <c r="D58" s="6"/>
      <c r="E58" s="7"/>
      <c r="F58" s="8"/>
      <c r="G58" s="17" t="s">
        <v>32</v>
      </c>
      <c r="H58" s="14">
        <v>1</v>
      </c>
      <c r="I58" s="18">
        <v>160000</v>
      </c>
      <c r="J58" s="15">
        <f t="shared" si="2"/>
        <v>160000</v>
      </c>
    </row>
    <row r="59" spans="2:12" ht="15.75" customHeight="1" x14ac:dyDescent="0.25">
      <c r="B59" s="125"/>
      <c r="C59" s="5"/>
      <c r="D59" s="6"/>
      <c r="E59" s="7"/>
      <c r="F59" s="8"/>
      <c r="G59" s="16" t="s">
        <v>33</v>
      </c>
      <c r="H59" s="14">
        <v>2</v>
      </c>
      <c r="I59" s="18">
        <v>53333</v>
      </c>
      <c r="J59" s="15">
        <f t="shared" si="2"/>
        <v>106666</v>
      </c>
    </row>
    <row r="60" spans="2:12" ht="33" customHeight="1" x14ac:dyDescent="0.25">
      <c r="B60" s="125"/>
      <c r="C60" s="5"/>
      <c r="D60" s="6"/>
      <c r="E60" s="7"/>
      <c r="F60" s="8"/>
      <c r="G60" s="16" t="s">
        <v>78</v>
      </c>
      <c r="H60" s="14">
        <v>1</v>
      </c>
      <c r="I60" s="18">
        <v>3633300</v>
      </c>
      <c r="J60" s="15">
        <f t="shared" si="2"/>
        <v>3633300</v>
      </c>
    </row>
    <row r="61" spans="2:12" x14ac:dyDescent="0.25">
      <c r="B61" s="125"/>
      <c r="C61" s="5"/>
      <c r="D61" s="6"/>
      <c r="E61" s="7"/>
      <c r="F61" s="8"/>
      <c r="G61" s="17" t="s">
        <v>34</v>
      </c>
      <c r="H61" s="14">
        <v>20</v>
      </c>
      <c r="I61" s="18">
        <v>20000</v>
      </c>
      <c r="J61" s="15">
        <f t="shared" si="2"/>
        <v>400000</v>
      </c>
    </row>
    <row r="62" spans="2:12" x14ac:dyDescent="0.25">
      <c r="B62" s="113" t="s">
        <v>12</v>
      </c>
      <c r="C62" s="113"/>
      <c r="D62" s="113"/>
      <c r="E62" s="113"/>
      <c r="F62" s="114">
        <f>SUM(F26:F58)</f>
        <v>3680000</v>
      </c>
      <c r="G62" s="115" t="s">
        <v>12</v>
      </c>
      <c r="H62" s="115"/>
      <c r="I62" s="115"/>
      <c r="J62" s="116">
        <f>SUM(J26:J61)</f>
        <v>7139123</v>
      </c>
    </row>
    <row r="63" spans="2:12" ht="15.75" thickBot="1" x14ac:dyDescent="0.3">
      <c r="B63" s="113"/>
      <c r="C63" s="113"/>
      <c r="D63" s="113"/>
      <c r="E63" s="113"/>
      <c r="F63" s="114"/>
      <c r="G63" s="115"/>
      <c r="H63" s="115"/>
      <c r="I63" s="115"/>
      <c r="J63" s="116"/>
    </row>
    <row r="64" spans="2:12" ht="15" customHeight="1" x14ac:dyDescent="0.25">
      <c r="B64" s="121" t="s">
        <v>418</v>
      </c>
      <c r="C64" s="121"/>
      <c r="D64" s="121"/>
      <c r="E64" s="121"/>
      <c r="F64" s="121"/>
      <c r="G64" s="121"/>
      <c r="H64" s="121"/>
      <c r="I64" s="121"/>
      <c r="J64" s="121"/>
    </row>
    <row r="65" spans="2:10" x14ac:dyDescent="0.25">
      <c r="B65" s="122" t="s">
        <v>0</v>
      </c>
      <c r="C65" s="123" t="s">
        <v>1</v>
      </c>
      <c r="D65" s="123"/>
      <c r="E65" s="123"/>
      <c r="F65" s="123"/>
      <c r="G65" s="112" t="s">
        <v>2</v>
      </c>
      <c r="H65" s="112"/>
      <c r="I65" s="112"/>
      <c r="J65" s="112"/>
    </row>
    <row r="66" spans="2:10" x14ac:dyDescent="0.25">
      <c r="B66" s="122"/>
      <c r="C66" s="2" t="s">
        <v>3</v>
      </c>
      <c r="D66" s="3" t="s">
        <v>4</v>
      </c>
      <c r="E66" s="3" t="s">
        <v>5</v>
      </c>
      <c r="F66" s="3" t="s">
        <v>6</v>
      </c>
      <c r="G66" s="2" t="s">
        <v>3</v>
      </c>
      <c r="H66" s="3" t="s">
        <v>4</v>
      </c>
      <c r="I66" s="3" t="s">
        <v>5</v>
      </c>
      <c r="J66" s="4" t="s">
        <v>6</v>
      </c>
    </row>
    <row r="67" spans="2:10" x14ac:dyDescent="0.25">
      <c r="B67" s="2"/>
      <c r="C67" s="2"/>
      <c r="D67" s="3"/>
      <c r="E67" s="3"/>
      <c r="F67" s="21"/>
      <c r="G67" s="96" t="s">
        <v>419</v>
      </c>
      <c r="H67" s="72">
        <v>72</v>
      </c>
      <c r="I67" s="18">
        <v>1500</v>
      </c>
      <c r="J67" s="15">
        <f t="shared" ref="J67:J78" si="3">H67*I67</f>
        <v>108000</v>
      </c>
    </row>
    <row r="68" spans="2:10" x14ac:dyDescent="0.25">
      <c r="B68" s="20"/>
      <c r="C68" s="5" t="s">
        <v>8</v>
      </c>
      <c r="D68" s="6">
        <v>10</v>
      </c>
      <c r="E68" s="7">
        <v>90000</v>
      </c>
      <c r="F68" s="8">
        <f>D68*E68</f>
        <v>900000</v>
      </c>
      <c r="G68" s="97" t="s">
        <v>36</v>
      </c>
      <c r="H68" s="72">
        <v>72</v>
      </c>
      <c r="I68" s="18">
        <v>1500</v>
      </c>
      <c r="J68" s="15">
        <f t="shared" si="3"/>
        <v>108000</v>
      </c>
    </row>
    <row r="69" spans="2:10" x14ac:dyDescent="0.25">
      <c r="B69" s="20"/>
      <c r="C69" s="5"/>
      <c r="D69" s="6"/>
      <c r="E69" s="7"/>
      <c r="F69" s="8">
        <f t="shared" ref="F69:F71" si="4">D69*E69</f>
        <v>0</v>
      </c>
      <c r="G69" s="97" t="s">
        <v>411</v>
      </c>
      <c r="H69" s="72">
        <v>72</v>
      </c>
      <c r="I69" s="18">
        <v>1500</v>
      </c>
      <c r="J69" s="15">
        <f t="shared" si="3"/>
        <v>108000</v>
      </c>
    </row>
    <row r="70" spans="2:10" x14ac:dyDescent="0.25">
      <c r="B70" s="20"/>
      <c r="C70" s="5" t="s">
        <v>337</v>
      </c>
      <c r="D70" s="6">
        <v>200</v>
      </c>
      <c r="E70" s="7">
        <v>1500</v>
      </c>
      <c r="F70" s="8">
        <f t="shared" si="4"/>
        <v>300000</v>
      </c>
      <c r="G70" s="17" t="s">
        <v>331</v>
      </c>
      <c r="H70" s="72">
        <v>72</v>
      </c>
      <c r="I70" s="18">
        <v>1500</v>
      </c>
      <c r="J70" s="15">
        <f>H70*I70</f>
        <v>108000</v>
      </c>
    </row>
    <row r="71" spans="2:10" ht="45" x14ac:dyDescent="0.25">
      <c r="B71" s="20"/>
      <c r="C71" s="98" t="s">
        <v>412</v>
      </c>
      <c r="D71" s="6"/>
      <c r="E71" s="7"/>
      <c r="F71" s="8">
        <f t="shared" si="4"/>
        <v>0</v>
      </c>
      <c r="G71" s="17" t="s">
        <v>330</v>
      </c>
      <c r="H71" s="72">
        <v>72</v>
      </c>
      <c r="I71" s="18">
        <v>1500</v>
      </c>
      <c r="J71" s="15">
        <f>H71*I71</f>
        <v>108000</v>
      </c>
    </row>
    <row r="72" spans="2:10" x14ac:dyDescent="0.25">
      <c r="B72" s="20"/>
      <c r="C72" s="5"/>
      <c r="D72" s="6"/>
      <c r="E72" s="7"/>
      <c r="F72" s="8"/>
      <c r="G72" s="97" t="s">
        <v>420</v>
      </c>
      <c r="H72" s="72">
        <v>72</v>
      </c>
      <c r="I72" s="18">
        <v>1500</v>
      </c>
      <c r="J72" s="15">
        <f>H72*I72</f>
        <v>108000</v>
      </c>
    </row>
    <row r="73" spans="2:10" x14ac:dyDescent="0.25">
      <c r="B73" s="20"/>
      <c r="C73" s="5"/>
      <c r="D73" s="6"/>
      <c r="E73" s="7"/>
      <c r="F73" s="8"/>
      <c r="G73" s="17" t="s">
        <v>422</v>
      </c>
      <c r="H73" s="72">
        <v>72</v>
      </c>
      <c r="I73" s="18">
        <v>1500</v>
      </c>
      <c r="J73" s="15">
        <f t="shared" si="3"/>
        <v>108000</v>
      </c>
    </row>
    <row r="74" spans="2:10" x14ac:dyDescent="0.25">
      <c r="B74" s="20"/>
      <c r="C74" s="5"/>
      <c r="D74" s="6"/>
      <c r="E74" s="7"/>
      <c r="F74" s="8"/>
      <c r="G74" s="17" t="s">
        <v>50</v>
      </c>
      <c r="H74" s="29">
        <v>72</v>
      </c>
      <c r="I74" s="18">
        <v>10000</v>
      </c>
      <c r="J74" s="15">
        <f t="shared" si="3"/>
        <v>720000</v>
      </c>
    </row>
    <row r="75" spans="2:10" x14ac:dyDescent="0.25">
      <c r="B75" s="20"/>
      <c r="C75" s="5"/>
      <c r="D75" s="6"/>
      <c r="E75" s="7"/>
      <c r="F75" s="8"/>
      <c r="G75" s="17"/>
      <c r="H75" s="29"/>
      <c r="I75" s="18"/>
      <c r="J75" s="15">
        <f t="shared" si="3"/>
        <v>0</v>
      </c>
    </row>
    <row r="76" spans="2:10" x14ac:dyDescent="0.25">
      <c r="B76" s="20"/>
      <c r="C76" s="5"/>
      <c r="D76" s="6"/>
      <c r="E76" s="7"/>
      <c r="F76" s="8"/>
      <c r="G76" s="17"/>
      <c r="H76" s="29"/>
      <c r="I76" s="18"/>
      <c r="J76" s="15">
        <f t="shared" si="3"/>
        <v>0</v>
      </c>
    </row>
    <row r="77" spans="2:10" x14ac:dyDescent="0.25">
      <c r="B77" s="20"/>
      <c r="C77" s="5"/>
      <c r="D77" s="6"/>
      <c r="E77" s="7"/>
      <c r="F77" s="8"/>
      <c r="G77" s="17"/>
      <c r="H77" s="29"/>
      <c r="I77" s="18"/>
      <c r="J77" s="15">
        <f t="shared" si="3"/>
        <v>0</v>
      </c>
    </row>
    <row r="78" spans="2:10" x14ac:dyDescent="0.25">
      <c r="B78" s="22"/>
      <c r="C78" s="5"/>
      <c r="D78" s="6"/>
      <c r="E78" s="7"/>
      <c r="F78" s="8"/>
      <c r="J78" s="15">
        <f t="shared" si="3"/>
        <v>0</v>
      </c>
    </row>
    <row r="79" spans="2:10" x14ac:dyDescent="0.25">
      <c r="B79" s="113" t="s">
        <v>12</v>
      </c>
      <c r="C79" s="113"/>
      <c r="D79" s="113"/>
      <c r="E79" s="113"/>
      <c r="F79" s="114">
        <f>SUM(F68:F78)</f>
        <v>1200000</v>
      </c>
      <c r="G79" s="115" t="s">
        <v>12</v>
      </c>
      <c r="H79" s="115"/>
      <c r="I79" s="115"/>
      <c r="J79" s="116">
        <f>SUM(J67:J78)</f>
        <v>1476000</v>
      </c>
    </row>
    <row r="80" spans="2:10" ht="15.75" thickBot="1" x14ac:dyDescent="0.3">
      <c r="B80" s="113"/>
      <c r="C80" s="113"/>
      <c r="D80" s="113"/>
      <c r="E80" s="113"/>
      <c r="F80" s="114"/>
      <c r="G80" s="115"/>
      <c r="H80" s="115"/>
      <c r="I80" s="115"/>
      <c r="J80" s="116"/>
    </row>
    <row r="81" spans="1:10" ht="14.85" customHeight="1" x14ac:dyDescent="0.25">
      <c r="B81" s="121" t="s">
        <v>413</v>
      </c>
      <c r="C81" s="121"/>
      <c r="D81" s="121"/>
      <c r="E81" s="121"/>
      <c r="F81" s="121"/>
      <c r="G81" s="121"/>
      <c r="H81" s="121"/>
      <c r="I81" s="121"/>
      <c r="J81" s="121"/>
    </row>
    <row r="82" spans="1:10" x14ac:dyDescent="0.25">
      <c r="B82" s="122" t="s">
        <v>0</v>
      </c>
      <c r="C82" s="123" t="s">
        <v>1</v>
      </c>
      <c r="D82" s="123"/>
      <c r="E82" s="123"/>
      <c r="F82" s="123"/>
      <c r="G82" s="112" t="s">
        <v>2</v>
      </c>
      <c r="H82" s="112"/>
      <c r="I82" s="112"/>
      <c r="J82" s="112"/>
    </row>
    <row r="83" spans="1:10" x14ac:dyDescent="0.25">
      <c r="B83" s="122"/>
      <c r="C83" s="2" t="s">
        <v>3</v>
      </c>
      <c r="D83" s="3" t="s">
        <v>4</v>
      </c>
      <c r="E83" s="3" t="s">
        <v>5</v>
      </c>
      <c r="F83" s="3" t="s">
        <v>6</v>
      </c>
      <c r="G83" s="2" t="s">
        <v>3</v>
      </c>
      <c r="H83" s="3" t="s">
        <v>4</v>
      </c>
      <c r="I83" s="3" t="s">
        <v>5</v>
      </c>
      <c r="J83" s="4" t="s">
        <v>6</v>
      </c>
    </row>
    <row r="84" spans="1:10" x14ac:dyDescent="0.25">
      <c r="B84" s="124"/>
      <c r="C84" s="5" t="s">
        <v>43</v>
      </c>
      <c r="D84" s="6">
        <v>200</v>
      </c>
      <c r="E84" s="7">
        <v>5000</v>
      </c>
      <c r="F84" s="8">
        <f t="shared" ref="F84:F103" si="5">D84*E84</f>
        <v>1000000</v>
      </c>
      <c r="G84" s="23" t="s">
        <v>42</v>
      </c>
      <c r="H84" s="6">
        <v>4</v>
      </c>
      <c r="I84" s="7">
        <v>15000</v>
      </c>
      <c r="J84" s="15">
        <f>H84*I84</f>
        <v>60000</v>
      </c>
    </row>
    <row r="85" spans="1:10" x14ac:dyDescent="0.25">
      <c r="B85" s="124"/>
      <c r="C85" s="5" t="s">
        <v>45</v>
      </c>
      <c r="D85" s="12">
        <v>30</v>
      </c>
      <c r="E85" s="13">
        <v>2000</v>
      </c>
      <c r="F85" s="8">
        <f t="shared" si="5"/>
        <v>60000</v>
      </c>
      <c r="G85" s="23" t="s">
        <v>76</v>
      </c>
      <c r="H85" s="14">
        <v>5</v>
      </c>
      <c r="I85" s="7">
        <v>15000</v>
      </c>
      <c r="J85" s="15">
        <f t="shared" ref="J85:J96" si="6">H85*I85</f>
        <v>75000</v>
      </c>
    </row>
    <row r="86" spans="1:10" x14ac:dyDescent="0.25">
      <c r="B86" s="124"/>
      <c r="C86" s="5" t="s">
        <v>46</v>
      </c>
      <c r="D86" s="6">
        <v>100</v>
      </c>
      <c r="E86" s="7">
        <v>1000</v>
      </c>
      <c r="F86" s="8">
        <f t="shared" si="5"/>
        <v>100000</v>
      </c>
      <c r="G86" s="23" t="s">
        <v>47</v>
      </c>
      <c r="H86" s="14">
        <v>5</v>
      </c>
      <c r="I86" s="7">
        <v>15000</v>
      </c>
      <c r="J86" s="15">
        <f t="shared" si="6"/>
        <v>75000</v>
      </c>
    </row>
    <row r="87" spans="1:10" x14ac:dyDescent="0.25">
      <c r="A87">
        <v>540</v>
      </c>
      <c r="B87" s="124"/>
      <c r="C87" s="5" t="s">
        <v>414</v>
      </c>
      <c r="D87" s="14">
        <v>8</v>
      </c>
      <c r="E87" s="18">
        <v>5000</v>
      </c>
      <c r="F87" s="8">
        <f t="shared" si="5"/>
        <v>40000</v>
      </c>
      <c r="G87" s="23" t="s">
        <v>52</v>
      </c>
      <c r="H87" s="14">
        <v>5</v>
      </c>
      <c r="I87" s="18">
        <v>8000</v>
      </c>
      <c r="J87" s="15">
        <f t="shared" si="6"/>
        <v>40000</v>
      </c>
    </row>
    <row r="88" spans="1:10" x14ac:dyDescent="0.25">
      <c r="B88" s="124"/>
      <c r="C88" s="5" t="s">
        <v>424</v>
      </c>
      <c r="D88" s="6">
        <v>10</v>
      </c>
      <c r="E88" s="7">
        <v>2000</v>
      </c>
      <c r="F88" s="8">
        <f t="shared" si="5"/>
        <v>20000</v>
      </c>
      <c r="G88" s="23" t="s">
        <v>50</v>
      </c>
      <c r="H88" s="14">
        <v>28</v>
      </c>
      <c r="I88" s="18">
        <v>15000</v>
      </c>
      <c r="J88" s="15">
        <f t="shared" si="6"/>
        <v>420000</v>
      </c>
    </row>
    <row r="89" spans="1:10" x14ac:dyDescent="0.25">
      <c r="B89" s="124"/>
      <c r="C89" s="11" t="s">
        <v>426</v>
      </c>
      <c r="D89" s="12">
        <v>8</v>
      </c>
      <c r="E89" s="7">
        <v>2000</v>
      </c>
      <c r="F89" s="8">
        <f t="shared" si="5"/>
        <v>16000</v>
      </c>
      <c r="G89" s="23" t="s">
        <v>440</v>
      </c>
      <c r="H89" s="14">
        <v>5</v>
      </c>
      <c r="I89" s="18">
        <v>15000</v>
      </c>
      <c r="J89" s="15">
        <f t="shared" si="6"/>
        <v>75000</v>
      </c>
    </row>
    <row r="90" spans="1:10" x14ac:dyDescent="0.25">
      <c r="B90" s="124"/>
      <c r="C90" s="5" t="s">
        <v>425</v>
      </c>
      <c r="D90" s="1">
        <v>10</v>
      </c>
      <c r="E90" s="7">
        <v>2000</v>
      </c>
      <c r="F90" s="8">
        <f t="shared" si="5"/>
        <v>20000</v>
      </c>
      <c r="G90" s="11" t="s">
        <v>54</v>
      </c>
      <c r="H90" s="12">
        <v>5</v>
      </c>
      <c r="I90" s="18">
        <v>8000</v>
      </c>
      <c r="J90" s="15">
        <f t="shared" si="6"/>
        <v>40000</v>
      </c>
    </row>
    <row r="91" spans="1:10" x14ac:dyDescent="0.25">
      <c r="B91" s="124"/>
      <c r="C91" s="5" t="s">
        <v>429</v>
      </c>
      <c r="D91" s="6">
        <v>10</v>
      </c>
      <c r="E91" s="7">
        <v>5000</v>
      </c>
      <c r="F91" s="8">
        <f t="shared" si="5"/>
        <v>50000</v>
      </c>
      <c r="G91" s="23" t="s">
        <v>441</v>
      </c>
      <c r="H91" s="14">
        <v>10</v>
      </c>
      <c r="I91" s="18">
        <v>8000</v>
      </c>
      <c r="J91" s="15">
        <f t="shared" si="6"/>
        <v>80000</v>
      </c>
    </row>
    <row r="92" spans="1:10" x14ac:dyDescent="0.25">
      <c r="B92" s="124"/>
      <c r="C92" s="5" t="s">
        <v>428</v>
      </c>
      <c r="D92" s="6">
        <v>2</v>
      </c>
      <c r="E92" s="7">
        <v>5000</v>
      </c>
      <c r="F92" s="8">
        <f t="shared" si="5"/>
        <v>10000</v>
      </c>
      <c r="G92" s="11"/>
      <c r="H92" s="11"/>
      <c r="I92" s="11"/>
      <c r="J92" s="15"/>
    </row>
    <row r="93" spans="1:10" x14ac:dyDescent="0.25">
      <c r="B93" s="124"/>
      <c r="C93" s="5" t="s">
        <v>427</v>
      </c>
      <c r="D93" s="6">
        <v>1</v>
      </c>
      <c r="E93" s="7">
        <v>5000</v>
      </c>
      <c r="F93" s="8">
        <f t="shared" si="5"/>
        <v>5000</v>
      </c>
      <c r="G93" s="11"/>
      <c r="H93" s="11"/>
      <c r="I93" s="11"/>
      <c r="J93" s="15"/>
    </row>
    <row r="94" spans="1:10" x14ac:dyDescent="0.25">
      <c r="B94" s="124"/>
      <c r="C94" s="5" t="s">
        <v>430</v>
      </c>
      <c r="D94" s="6">
        <v>6</v>
      </c>
      <c r="E94" s="7">
        <v>5000</v>
      </c>
      <c r="F94" s="8">
        <f t="shared" si="5"/>
        <v>30000</v>
      </c>
      <c r="G94" s="23"/>
      <c r="H94" s="94"/>
      <c r="I94" s="18"/>
      <c r="J94" s="15"/>
    </row>
    <row r="95" spans="1:10" x14ac:dyDescent="0.25">
      <c r="B95" s="124"/>
      <c r="C95" s="5" t="s">
        <v>431</v>
      </c>
      <c r="D95" s="6">
        <v>1</v>
      </c>
      <c r="E95" s="7">
        <v>5000</v>
      </c>
      <c r="F95" s="8">
        <f t="shared" si="5"/>
        <v>5000</v>
      </c>
      <c r="G95" s="23" t="s">
        <v>55</v>
      </c>
      <c r="H95" s="14">
        <v>1</v>
      </c>
      <c r="I95" s="18">
        <v>194000</v>
      </c>
      <c r="J95" s="15">
        <f t="shared" si="6"/>
        <v>194000</v>
      </c>
    </row>
    <row r="96" spans="1:10" x14ac:dyDescent="0.25">
      <c r="B96" s="124"/>
      <c r="C96" s="5" t="s">
        <v>432</v>
      </c>
      <c r="D96" s="6">
        <v>4</v>
      </c>
      <c r="E96" s="7">
        <v>5000</v>
      </c>
      <c r="F96" s="8">
        <f t="shared" si="5"/>
        <v>20000</v>
      </c>
      <c r="G96" s="23" t="s">
        <v>56</v>
      </c>
      <c r="H96" s="94">
        <v>2</v>
      </c>
      <c r="I96" s="18">
        <v>8667</v>
      </c>
      <c r="J96" s="15">
        <f t="shared" si="6"/>
        <v>17334</v>
      </c>
    </row>
    <row r="97" spans="2:12" x14ac:dyDescent="0.25">
      <c r="B97" s="124"/>
      <c r="C97" s="5" t="s">
        <v>433</v>
      </c>
      <c r="D97" s="6">
        <v>3</v>
      </c>
      <c r="E97" s="7">
        <v>5000</v>
      </c>
      <c r="F97" s="8">
        <f t="shared" si="5"/>
        <v>15000</v>
      </c>
      <c r="G97" s="23" t="s">
        <v>57</v>
      </c>
      <c r="H97" s="94">
        <v>2</v>
      </c>
      <c r="I97" s="18">
        <v>13333</v>
      </c>
      <c r="J97" s="15">
        <f t="shared" ref="J97:J114" si="7">H97*I97</f>
        <v>26666</v>
      </c>
    </row>
    <row r="98" spans="2:12" x14ac:dyDescent="0.25">
      <c r="B98" s="124"/>
      <c r="C98" s="99" t="s">
        <v>434</v>
      </c>
      <c r="D98" s="93">
        <v>10</v>
      </c>
      <c r="E98" s="7">
        <v>5000</v>
      </c>
      <c r="F98" s="8">
        <f t="shared" si="5"/>
        <v>50000</v>
      </c>
      <c r="G98" s="23" t="s">
        <v>67</v>
      </c>
      <c r="H98" s="94">
        <v>1</v>
      </c>
      <c r="I98" s="18">
        <v>42667</v>
      </c>
      <c r="J98" s="15">
        <f t="shared" si="7"/>
        <v>42667</v>
      </c>
    </row>
    <row r="99" spans="2:12" x14ac:dyDescent="0.25">
      <c r="B99" s="124"/>
      <c r="C99" s="5" t="s">
        <v>435</v>
      </c>
      <c r="D99" s="6">
        <v>5</v>
      </c>
      <c r="E99" s="7">
        <v>5000</v>
      </c>
      <c r="F99" s="8">
        <f t="shared" si="5"/>
        <v>25000</v>
      </c>
      <c r="G99" s="23" t="s">
        <v>68</v>
      </c>
      <c r="H99" s="94">
        <v>1</v>
      </c>
      <c r="I99" s="18">
        <v>13333</v>
      </c>
      <c r="J99" s="15">
        <f t="shared" si="7"/>
        <v>13333</v>
      </c>
    </row>
    <row r="100" spans="2:12" x14ac:dyDescent="0.25">
      <c r="B100" s="124"/>
      <c r="C100" s="5" t="s">
        <v>436</v>
      </c>
      <c r="D100" s="6">
        <v>9</v>
      </c>
      <c r="E100" s="7">
        <v>5000</v>
      </c>
      <c r="F100" s="8">
        <f t="shared" si="5"/>
        <v>45000</v>
      </c>
      <c r="G100" s="23" t="s">
        <v>90</v>
      </c>
      <c r="H100" s="94">
        <v>1</v>
      </c>
      <c r="I100" s="18">
        <v>7333</v>
      </c>
      <c r="J100" s="15">
        <f t="shared" si="7"/>
        <v>7333</v>
      </c>
    </row>
    <row r="101" spans="2:12" x14ac:dyDescent="0.25">
      <c r="B101" s="124"/>
      <c r="C101" s="5" t="s">
        <v>437</v>
      </c>
      <c r="D101" s="6">
        <v>1</v>
      </c>
      <c r="E101" s="7">
        <v>5000</v>
      </c>
      <c r="F101" s="8">
        <f t="shared" si="5"/>
        <v>5000</v>
      </c>
      <c r="G101" s="23" t="s">
        <v>82</v>
      </c>
      <c r="H101" s="94">
        <v>1</v>
      </c>
      <c r="I101" s="18">
        <v>12000</v>
      </c>
      <c r="J101" s="15">
        <f t="shared" si="7"/>
        <v>12000</v>
      </c>
    </row>
    <row r="102" spans="2:12" x14ac:dyDescent="0.25">
      <c r="B102" s="124"/>
      <c r="C102" s="5" t="s">
        <v>438</v>
      </c>
      <c r="D102" s="6">
        <v>2</v>
      </c>
      <c r="E102" s="7">
        <v>5000</v>
      </c>
      <c r="F102" s="8">
        <f t="shared" si="5"/>
        <v>10000</v>
      </c>
      <c r="G102" s="23" t="s">
        <v>58</v>
      </c>
      <c r="H102" s="94">
        <v>2</v>
      </c>
      <c r="I102" s="18">
        <v>7333</v>
      </c>
      <c r="J102" s="15">
        <f t="shared" si="7"/>
        <v>14666</v>
      </c>
      <c r="L102">
        <v>29</v>
      </c>
    </row>
    <row r="103" spans="2:12" x14ac:dyDescent="0.25">
      <c r="B103" s="124"/>
      <c r="C103" s="5" t="s">
        <v>439</v>
      </c>
      <c r="D103" s="6">
        <v>1</v>
      </c>
      <c r="E103" s="7">
        <v>5000</v>
      </c>
      <c r="F103" s="8">
        <f t="shared" si="5"/>
        <v>5000</v>
      </c>
      <c r="G103" s="23" t="s">
        <v>91</v>
      </c>
      <c r="H103" s="94">
        <v>2</v>
      </c>
      <c r="I103" s="18">
        <v>18000</v>
      </c>
      <c r="J103" s="15">
        <f t="shared" si="7"/>
        <v>36000</v>
      </c>
    </row>
    <row r="104" spans="2:12" x14ac:dyDescent="0.25">
      <c r="B104" s="124"/>
      <c r="C104" s="5"/>
      <c r="D104" s="6"/>
      <c r="E104" s="7"/>
      <c r="F104" s="8"/>
      <c r="G104" s="23" t="s">
        <v>89</v>
      </c>
      <c r="H104" s="94">
        <v>1</v>
      </c>
      <c r="I104" s="18">
        <v>70000</v>
      </c>
      <c r="J104" s="15">
        <f t="shared" si="7"/>
        <v>70000</v>
      </c>
    </row>
    <row r="105" spans="2:12" x14ac:dyDescent="0.25">
      <c r="B105" s="124"/>
      <c r="C105" s="5"/>
      <c r="D105" s="6"/>
      <c r="E105" s="7"/>
      <c r="F105" s="8"/>
      <c r="G105" s="11" t="s">
        <v>83</v>
      </c>
      <c r="H105" s="12">
        <v>1</v>
      </c>
      <c r="I105" s="18">
        <v>70000</v>
      </c>
      <c r="J105" s="15">
        <f t="shared" si="7"/>
        <v>70000</v>
      </c>
    </row>
    <row r="106" spans="2:12" x14ac:dyDescent="0.25">
      <c r="B106" s="124"/>
      <c r="C106" s="5"/>
      <c r="D106" s="6"/>
      <c r="E106" s="7"/>
      <c r="F106" s="8"/>
      <c r="G106" s="11" t="s">
        <v>84</v>
      </c>
      <c r="H106" s="12">
        <v>1</v>
      </c>
      <c r="I106" s="18">
        <v>12000</v>
      </c>
      <c r="J106" s="15">
        <f t="shared" si="7"/>
        <v>12000</v>
      </c>
    </row>
    <row r="107" spans="2:12" x14ac:dyDescent="0.25">
      <c r="B107" s="124"/>
      <c r="C107" s="5" t="s">
        <v>8</v>
      </c>
      <c r="D107" s="14">
        <v>5</v>
      </c>
      <c r="E107" s="18">
        <v>5000</v>
      </c>
      <c r="F107" s="8"/>
      <c r="G107" s="23" t="s">
        <v>59</v>
      </c>
      <c r="H107" s="14">
        <v>2</v>
      </c>
      <c r="I107" s="18">
        <v>16000</v>
      </c>
      <c r="J107" s="15">
        <f t="shared" si="7"/>
        <v>32000</v>
      </c>
    </row>
    <row r="108" spans="2:12" x14ac:dyDescent="0.25">
      <c r="B108" s="124"/>
      <c r="C108" s="5"/>
      <c r="D108" s="6"/>
      <c r="E108" s="7"/>
      <c r="F108" s="8"/>
      <c r="G108" s="23" t="s">
        <v>60</v>
      </c>
      <c r="H108" s="14">
        <v>1</v>
      </c>
      <c r="I108" s="18">
        <v>40000</v>
      </c>
      <c r="J108" s="15">
        <f t="shared" si="7"/>
        <v>40000</v>
      </c>
    </row>
    <row r="109" spans="2:12" x14ac:dyDescent="0.25">
      <c r="B109" s="124"/>
      <c r="C109" s="11"/>
      <c r="D109" s="11"/>
      <c r="E109" s="11"/>
      <c r="F109" s="8"/>
      <c r="G109" s="11" t="s">
        <v>61</v>
      </c>
      <c r="H109" s="6">
        <v>3</v>
      </c>
      <c r="I109" s="18">
        <v>42000</v>
      </c>
      <c r="J109" s="15">
        <f t="shared" si="7"/>
        <v>126000</v>
      </c>
    </row>
    <row r="110" spans="2:12" x14ac:dyDescent="0.25">
      <c r="B110" s="24"/>
      <c r="C110" s="11"/>
      <c r="D110" s="11"/>
      <c r="E110" s="11"/>
      <c r="F110" s="8"/>
      <c r="G110" s="11" t="s">
        <v>62</v>
      </c>
      <c r="H110" s="6">
        <v>1</v>
      </c>
      <c r="I110" s="18">
        <v>40000</v>
      </c>
      <c r="J110" s="15">
        <f t="shared" si="7"/>
        <v>40000</v>
      </c>
    </row>
    <row r="111" spans="2:12" x14ac:dyDescent="0.25">
      <c r="B111" s="24"/>
      <c r="C111" s="11"/>
      <c r="D111" s="11"/>
      <c r="E111" s="11"/>
      <c r="F111" s="8"/>
      <c r="G111" s="11" t="s">
        <v>87</v>
      </c>
      <c r="H111" s="6">
        <v>1</v>
      </c>
      <c r="I111" s="18">
        <v>80000</v>
      </c>
      <c r="J111" s="15">
        <f t="shared" si="7"/>
        <v>80000</v>
      </c>
    </row>
    <row r="112" spans="2:12" x14ac:dyDescent="0.25">
      <c r="B112" s="24"/>
      <c r="C112" s="11"/>
      <c r="D112" s="11"/>
      <c r="E112" s="11"/>
      <c r="F112" s="8"/>
      <c r="G112" s="11" t="s">
        <v>63</v>
      </c>
      <c r="H112" s="6">
        <v>1</v>
      </c>
      <c r="I112" s="18">
        <v>70000</v>
      </c>
      <c r="J112" s="15">
        <f t="shared" si="7"/>
        <v>70000</v>
      </c>
    </row>
    <row r="113" spans="2:10" x14ac:dyDescent="0.25">
      <c r="B113" s="24"/>
      <c r="C113" s="74"/>
      <c r="D113" s="74"/>
      <c r="E113" s="74"/>
      <c r="F113" s="8"/>
      <c r="G113" s="11" t="s">
        <v>338</v>
      </c>
      <c r="H113" s="6">
        <v>2</v>
      </c>
      <c r="I113" s="18">
        <v>40000</v>
      </c>
      <c r="J113" s="15">
        <f t="shared" si="7"/>
        <v>80000</v>
      </c>
    </row>
    <row r="114" spans="2:10" x14ac:dyDescent="0.25">
      <c r="B114" s="24"/>
      <c r="C114" s="74"/>
      <c r="D114" s="74"/>
      <c r="E114" s="74"/>
      <c r="F114" s="8"/>
      <c r="G114" s="11" t="s">
        <v>85</v>
      </c>
      <c r="H114" s="6">
        <v>2</v>
      </c>
      <c r="I114" s="18">
        <v>50000</v>
      </c>
      <c r="J114" s="15">
        <f t="shared" si="7"/>
        <v>100000</v>
      </c>
    </row>
    <row r="115" spans="2:10" x14ac:dyDescent="0.25">
      <c r="B115" s="24"/>
      <c r="C115" s="74"/>
      <c r="D115" s="74"/>
      <c r="E115" s="74"/>
      <c r="F115" s="8"/>
      <c r="G115" s="11" t="s">
        <v>339</v>
      </c>
      <c r="H115" s="6"/>
      <c r="I115" s="18"/>
      <c r="J115" s="15"/>
    </row>
    <row r="116" spans="2:10" x14ac:dyDescent="0.25">
      <c r="B116" s="113" t="s">
        <v>12</v>
      </c>
      <c r="C116" s="113"/>
      <c r="D116" s="113"/>
      <c r="E116" s="113"/>
      <c r="F116" s="114">
        <f>SUM(F84:F109)</f>
        <v>1531000</v>
      </c>
      <c r="G116" s="115" t="s">
        <v>12</v>
      </c>
      <c r="H116" s="115"/>
      <c r="I116" s="115"/>
      <c r="J116" s="116">
        <f>SUM(J84:J115)</f>
        <v>1948999</v>
      </c>
    </row>
    <row r="117" spans="2:10" ht="15.75" thickBot="1" x14ac:dyDescent="0.3">
      <c r="B117" s="113"/>
      <c r="C117" s="113"/>
      <c r="D117" s="113"/>
      <c r="E117" s="113"/>
      <c r="F117" s="114"/>
      <c r="G117" s="115"/>
      <c r="H117" s="115"/>
      <c r="I117" s="115"/>
      <c r="J117" s="116"/>
    </row>
    <row r="118" spans="2:10" x14ac:dyDescent="0.25">
      <c r="B118" s="121" t="s">
        <v>443</v>
      </c>
      <c r="C118" s="121"/>
      <c r="D118" s="121"/>
      <c r="E118" s="121"/>
      <c r="F118" s="121"/>
      <c r="G118" s="121"/>
      <c r="H118" s="121"/>
      <c r="I118" s="121"/>
      <c r="J118" s="121"/>
    </row>
    <row r="119" spans="2:10" x14ac:dyDescent="0.25">
      <c r="B119" s="122" t="s">
        <v>0</v>
      </c>
      <c r="C119" s="123" t="s">
        <v>1</v>
      </c>
      <c r="D119" s="123"/>
      <c r="E119" s="123"/>
      <c r="F119" s="123"/>
      <c r="G119" s="112" t="s">
        <v>2</v>
      </c>
      <c r="H119" s="112"/>
      <c r="I119" s="112"/>
      <c r="J119" s="112"/>
    </row>
    <row r="120" spans="2:10" x14ac:dyDescent="0.25">
      <c r="B120" s="122"/>
      <c r="C120" s="2" t="s">
        <v>3</v>
      </c>
      <c r="D120" s="3" t="s">
        <v>4</v>
      </c>
      <c r="E120" s="3" t="s">
        <v>5</v>
      </c>
      <c r="F120" s="3" t="s">
        <v>6</v>
      </c>
      <c r="G120" s="2" t="s">
        <v>3</v>
      </c>
      <c r="H120" s="3" t="s">
        <v>4</v>
      </c>
      <c r="I120" s="3" t="s">
        <v>5</v>
      </c>
      <c r="J120" s="4" t="s">
        <v>6</v>
      </c>
    </row>
    <row r="121" spans="2:10" x14ac:dyDescent="0.25">
      <c r="B121" s="2"/>
      <c r="C121" s="100" t="s">
        <v>75</v>
      </c>
      <c r="D121" s="6">
        <v>80</v>
      </c>
      <c r="E121" s="7">
        <v>30000</v>
      </c>
      <c r="F121" s="8">
        <f>D121*E121</f>
        <v>2400000</v>
      </c>
      <c r="G121" s="96" t="s">
        <v>444</v>
      </c>
      <c r="H121" s="72">
        <v>72</v>
      </c>
      <c r="I121" s="18">
        <v>1500</v>
      </c>
      <c r="J121" s="15">
        <f t="shared" ref="J121:J123" si="8">H121*I121</f>
        <v>108000</v>
      </c>
    </row>
    <row r="122" spans="2:10" x14ac:dyDescent="0.25">
      <c r="B122" s="20"/>
      <c r="C122" s="5" t="s">
        <v>8</v>
      </c>
      <c r="D122" s="6">
        <v>10</v>
      </c>
      <c r="E122" s="7">
        <v>90000</v>
      </c>
      <c r="F122" s="8">
        <f>D122*E122</f>
        <v>900000</v>
      </c>
      <c r="G122" s="97" t="s">
        <v>36</v>
      </c>
      <c r="H122" s="72">
        <v>72</v>
      </c>
      <c r="I122" s="18">
        <v>1500</v>
      </c>
      <c r="J122" s="15">
        <f t="shared" si="8"/>
        <v>108000</v>
      </c>
    </row>
    <row r="123" spans="2:10" x14ac:dyDescent="0.25">
      <c r="B123" s="20"/>
      <c r="C123" s="5"/>
      <c r="D123" s="6"/>
      <c r="E123" s="7"/>
      <c r="F123" s="8">
        <f t="shared" ref="F123:F125" si="9">D123*E123</f>
        <v>0</v>
      </c>
      <c r="G123" s="97" t="s">
        <v>411</v>
      </c>
      <c r="H123" s="72">
        <v>72</v>
      </c>
      <c r="I123" s="18">
        <v>1500</v>
      </c>
      <c r="J123" s="15">
        <f t="shared" si="8"/>
        <v>108000</v>
      </c>
    </row>
    <row r="124" spans="2:10" x14ac:dyDescent="0.25">
      <c r="B124" s="20"/>
      <c r="C124" s="5" t="s">
        <v>337</v>
      </c>
      <c r="D124" s="6">
        <v>200</v>
      </c>
      <c r="E124" s="7">
        <v>1500</v>
      </c>
      <c r="F124" s="8">
        <f t="shared" si="9"/>
        <v>300000</v>
      </c>
      <c r="G124" s="17" t="s">
        <v>331</v>
      </c>
      <c r="H124" s="72">
        <v>72</v>
      </c>
      <c r="I124" s="18">
        <v>1500</v>
      </c>
      <c r="J124" s="15">
        <f>H124*I124</f>
        <v>108000</v>
      </c>
    </row>
    <row r="125" spans="2:10" x14ac:dyDescent="0.25">
      <c r="B125" s="20"/>
      <c r="C125" s="98"/>
      <c r="D125" s="6"/>
      <c r="E125" s="7"/>
      <c r="F125" s="8">
        <f t="shared" si="9"/>
        <v>0</v>
      </c>
      <c r="G125" s="17" t="s">
        <v>330</v>
      </c>
      <c r="H125" s="72">
        <v>72</v>
      </c>
      <c r="I125" s="18">
        <v>1500</v>
      </c>
      <c r="J125" s="15">
        <f>H125*I125</f>
        <v>108000</v>
      </c>
    </row>
    <row r="126" spans="2:10" x14ac:dyDescent="0.25">
      <c r="B126" s="20"/>
      <c r="C126" s="5"/>
      <c r="D126" s="6"/>
      <c r="E126" s="7"/>
      <c r="F126" s="8"/>
      <c r="G126" s="97" t="s">
        <v>420</v>
      </c>
      <c r="H126" s="72">
        <v>72</v>
      </c>
      <c r="I126" s="18">
        <v>1500</v>
      </c>
      <c r="J126" s="15">
        <f>H126*I126</f>
        <v>108000</v>
      </c>
    </row>
    <row r="127" spans="2:10" x14ac:dyDescent="0.25">
      <c r="B127" s="20"/>
      <c r="C127" s="5"/>
      <c r="D127" s="6"/>
      <c r="E127" s="7"/>
      <c r="F127" s="8"/>
      <c r="G127" s="17" t="s">
        <v>422</v>
      </c>
      <c r="H127" s="72">
        <v>72</v>
      </c>
      <c r="I127" s="18">
        <v>1500</v>
      </c>
      <c r="J127" s="15">
        <f t="shared" ref="J127:J128" si="10">H127*I127</f>
        <v>108000</v>
      </c>
    </row>
    <row r="128" spans="2:10" x14ac:dyDescent="0.25">
      <c r="B128" s="20"/>
      <c r="C128" s="5"/>
      <c r="D128" s="6"/>
      <c r="E128" s="7"/>
      <c r="F128" s="8"/>
      <c r="G128" s="17" t="s">
        <v>50</v>
      </c>
      <c r="H128" s="29">
        <v>72</v>
      </c>
      <c r="I128" s="18">
        <v>10000</v>
      </c>
      <c r="J128" s="15">
        <f t="shared" si="10"/>
        <v>720000</v>
      </c>
    </row>
    <row r="129" spans="2:10" x14ac:dyDescent="0.25">
      <c r="G129" s="101" t="s">
        <v>445</v>
      </c>
      <c r="H129" s="29">
        <v>72</v>
      </c>
    </row>
    <row r="130" spans="2:10" x14ac:dyDescent="0.25">
      <c r="B130" s="113" t="s">
        <v>12</v>
      </c>
      <c r="C130" s="113"/>
      <c r="D130" s="113"/>
      <c r="E130" s="113"/>
      <c r="F130" s="114">
        <f>SUM(F121:F128)</f>
        <v>3600000</v>
      </c>
      <c r="G130" s="115" t="s">
        <v>12</v>
      </c>
      <c r="H130" s="115"/>
      <c r="I130" s="115"/>
      <c r="J130" s="116">
        <f>SUM(J121:J129)</f>
        <v>1476000</v>
      </c>
    </row>
    <row r="131" spans="2:10" x14ac:dyDescent="0.25">
      <c r="B131" s="113"/>
      <c r="C131" s="113"/>
      <c r="D131" s="113"/>
      <c r="E131" s="113"/>
      <c r="F131" s="114"/>
      <c r="G131" s="115"/>
      <c r="H131" s="115"/>
      <c r="I131" s="115"/>
      <c r="J131" s="116"/>
    </row>
    <row r="132" spans="2:10" ht="15.75" thickBot="1" x14ac:dyDescent="0.3">
      <c r="B132" s="117" t="s">
        <v>64</v>
      </c>
      <c r="C132" s="117"/>
      <c r="D132" s="117"/>
      <c r="E132" s="117"/>
      <c r="F132" s="118">
        <f>SUM(F116+F79+F62+F21)</f>
        <v>15411000</v>
      </c>
      <c r="G132" s="119" t="s">
        <v>64</v>
      </c>
      <c r="H132" s="119"/>
      <c r="I132" s="119"/>
      <c r="J132" s="120">
        <f>SUM(J116+J79+J21+J62+J130)</f>
        <v>16478122</v>
      </c>
    </row>
    <row r="133" spans="2:10" ht="15.75" thickBot="1" x14ac:dyDescent="0.3">
      <c r="B133" s="117"/>
      <c r="C133" s="117"/>
      <c r="D133" s="117"/>
      <c r="E133" s="117"/>
      <c r="F133" s="118"/>
      <c r="G133" s="119"/>
      <c r="H133" s="119"/>
      <c r="I133" s="119"/>
      <c r="J133" s="120"/>
    </row>
  </sheetData>
  <mergeCells count="49">
    <mergeCell ref="B130:E131"/>
    <mergeCell ref="F130:F131"/>
    <mergeCell ref="G130:I131"/>
    <mergeCell ref="J130:J131"/>
    <mergeCell ref="B132:E133"/>
    <mergeCell ref="F132:F133"/>
    <mergeCell ref="G132:I133"/>
    <mergeCell ref="J132:J133"/>
    <mergeCell ref="B118:J118"/>
    <mergeCell ref="B119:B120"/>
    <mergeCell ref="C119:F119"/>
    <mergeCell ref="G119:J119"/>
    <mergeCell ref="B116:E117"/>
    <mergeCell ref="F116:F117"/>
    <mergeCell ref="G116:I117"/>
    <mergeCell ref="J116:J117"/>
    <mergeCell ref="B79:E80"/>
    <mergeCell ref="F79:F80"/>
    <mergeCell ref="G79:I80"/>
    <mergeCell ref="J79:J80"/>
    <mergeCell ref="B84:B109"/>
    <mergeCell ref="B81:J81"/>
    <mergeCell ref="B82:B83"/>
    <mergeCell ref="C82:F82"/>
    <mergeCell ref="G82:J82"/>
    <mergeCell ref="B64:J64"/>
    <mergeCell ref="B65:B66"/>
    <mergeCell ref="C65:F65"/>
    <mergeCell ref="G65:J65"/>
    <mergeCell ref="B23:J23"/>
    <mergeCell ref="B24:B25"/>
    <mergeCell ref="C24:F24"/>
    <mergeCell ref="G24:J24"/>
    <mergeCell ref="B26:B61"/>
    <mergeCell ref="B62:E63"/>
    <mergeCell ref="F62:F63"/>
    <mergeCell ref="G62:I63"/>
    <mergeCell ref="J62:J63"/>
    <mergeCell ref="B1:J6"/>
    <mergeCell ref="B7:J7"/>
    <mergeCell ref="B8:J8"/>
    <mergeCell ref="B9:B10"/>
    <mergeCell ref="C9:F9"/>
    <mergeCell ref="G9:J9"/>
    <mergeCell ref="B11:B20"/>
    <mergeCell ref="B21:E22"/>
    <mergeCell ref="F21:F22"/>
    <mergeCell ref="G21:I22"/>
    <mergeCell ref="J21:J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6682-4367-4EDB-9877-71D9A9236EC4}">
  <dimension ref="A1:O134"/>
  <sheetViews>
    <sheetView topLeftCell="C115" workbookViewId="0">
      <selection activeCell="J135" sqref="J135"/>
    </sheetView>
  </sheetViews>
  <sheetFormatPr baseColWidth="10" defaultColWidth="10.5703125" defaultRowHeight="15" x14ac:dyDescent="0.25"/>
  <cols>
    <col min="2" max="2" width="20.28515625" customWidth="1"/>
    <col min="3" max="3" width="27" customWidth="1"/>
    <col min="5" max="5" width="13.140625" customWidth="1"/>
    <col min="6" max="6" width="14.28515625" customWidth="1"/>
    <col min="7" max="7" width="42.7109375" bestFit="1" customWidth="1"/>
    <col min="9" max="9" width="12" customWidth="1"/>
    <col min="10" max="10" width="16.5703125" customWidth="1"/>
  </cols>
  <sheetData>
    <row r="1" spans="2:15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5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5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5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5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5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</row>
    <row r="7" spans="2:15" ht="15.75" thickBot="1" x14ac:dyDescent="0.3">
      <c r="B7" s="127" t="s">
        <v>450</v>
      </c>
      <c r="C7" s="127"/>
      <c r="D7" s="127"/>
      <c r="E7" s="127"/>
      <c r="F7" s="127"/>
      <c r="G7" s="127"/>
      <c r="H7" s="127"/>
      <c r="I7" s="127"/>
      <c r="J7" s="127"/>
    </row>
    <row r="8" spans="2:15" ht="22.5" customHeight="1" x14ac:dyDescent="0.25">
      <c r="B8" s="121" t="s">
        <v>447</v>
      </c>
      <c r="C8" s="121"/>
      <c r="D8" s="121"/>
      <c r="E8" s="121"/>
      <c r="F8" s="121"/>
      <c r="G8" s="121"/>
      <c r="H8" s="121"/>
      <c r="I8" s="121"/>
      <c r="J8" s="121"/>
    </row>
    <row r="9" spans="2:15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5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</row>
    <row r="11" spans="2:15" ht="30" x14ac:dyDescent="0.25">
      <c r="B11" s="124"/>
      <c r="C11" s="5" t="s">
        <v>75</v>
      </c>
      <c r="D11" s="26">
        <v>450</v>
      </c>
      <c r="E11" s="7">
        <v>30000</v>
      </c>
      <c r="F11" s="8">
        <f>D11*E11</f>
        <v>13500000</v>
      </c>
      <c r="G11" s="9" t="s">
        <v>7</v>
      </c>
      <c r="H11" s="19">
        <v>12</v>
      </c>
      <c r="I11" s="32">
        <v>230000</v>
      </c>
      <c r="J11" s="10">
        <f t="shared" ref="J11:J20" si="0">H11*I11</f>
        <v>2760000</v>
      </c>
      <c r="K11">
        <v>2231</v>
      </c>
      <c r="L11" t="s">
        <v>442</v>
      </c>
      <c r="O11">
        <f>K11/7</f>
        <v>318.71428571428572</v>
      </c>
    </row>
    <row r="12" spans="2:15" x14ac:dyDescent="0.25">
      <c r="B12" s="124"/>
      <c r="C12" s="11"/>
      <c r="D12" s="25"/>
      <c r="E12" s="13"/>
      <c r="F12" s="8"/>
      <c r="G12" s="9" t="s">
        <v>9</v>
      </c>
      <c r="H12" s="19">
        <v>6</v>
      </c>
      <c r="I12" s="27">
        <v>35000</v>
      </c>
      <c r="J12" s="15">
        <f t="shared" si="0"/>
        <v>210000</v>
      </c>
    </row>
    <row r="13" spans="2:15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19">
        <v>80</v>
      </c>
      <c r="I13" s="27">
        <v>5000</v>
      </c>
      <c r="J13" s="15">
        <f t="shared" si="0"/>
        <v>400000</v>
      </c>
      <c r="N13">
        <f>K11*5</f>
        <v>11155</v>
      </c>
    </row>
    <row r="14" spans="2:15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19">
        <v>2</v>
      </c>
      <c r="I14" s="27">
        <v>60000</v>
      </c>
      <c r="J14" s="15">
        <f t="shared" si="0"/>
        <v>120000</v>
      </c>
      <c r="L14">
        <v>221</v>
      </c>
    </row>
    <row r="15" spans="2:15" x14ac:dyDescent="0.25">
      <c r="B15" s="124"/>
      <c r="C15" s="5"/>
      <c r="D15" s="6"/>
      <c r="E15" s="7"/>
      <c r="F15" s="8"/>
      <c r="G15" s="16" t="s">
        <v>65</v>
      </c>
      <c r="H15" s="19">
        <v>14</v>
      </c>
      <c r="I15" s="27">
        <v>38000</v>
      </c>
      <c r="J15" s="15">
        <f t="shared" si="0"/>
        <v>532000</v>
      </c>
      <c r="K15" s="33"/>
      <c r="L15">
        <v>192</v>
      </c>
    </row>
    <row r="16" spans="2:15" x14ac:dyDescent="0.25">
      <c r="B16" s="124"/>
      <c r="C16" s="5"/>
      <c r="D16" s="6"/>
      <c r="E16" s="7"/>
      <c r="F16" s="8"/>
      <c r="G16" s="17" t="s">
        <v>66</v>
      </c>
      <c r="H16" s="19">
        <v>14</v>
      </c>
      <c r="I16" s="28">
        <v>6000</v>
      </c>
      <c r="J16" s="15">
        <f t="shared" si="0"/>
        <v>84000</v>
      </c>
      <c r="L16">
        <v>110</v>
      </c>
    </row>
    <row r="17" spans="2:12" x14ac:dyDescent="0.25">
      <c r="B17" s="124"/>
      <c r="C17" s="5"/>
      <c r="D17" s="6"/>
      <c r="E17" s="7"/>
      <c r="F17" s="8"/>
      <c r="G17" s="17" t="str">
        <f>General!A40</f>
        <v>Bateria Solar 55 AMP</v>
      </c>
      <c r="H17" s="14">
        <v>1</v>
      </c>
      <c r="I17" s="28">
        <v>600000</v>
      </c>
      <c r="J17" s="15">
        <f t="shared" si="0"/>
        <v>600000</v>
      </c>
      <c r="L17">
        <v>100</v>
      </c>
    </row>
    <row r="18" spans="2:12" ht="15.75" x14ac:dyDescent="0.25">
      <c r="B18" s="124"/>
      <c r="C18" s="5"/>
      <c r="D18" s="6"/>
      <c r="E18" s="7"/>
      <c r="F18" s="8"/>
      <c r="G18" s="68" t="s">
        <v>243</v>
      </c>
      <c r="H18" s="19">
        <v>1</v>
      </c>
      <c r="I18" s="28">
        <v>219000</v>
      </c>
      <c r="J18" s="15">
        <f t="shared" si="0"/>
        <v>219000</v>
      </c>
      <c r="L18">
        <v>393</v>
      </c>
    </row>
    <row r="19" spans="2:12" ht="15.75" x14ac:dyDescent="0.25">
      <c r="B19" s="124"/>
      <c r="C19" s="5"/>
      <c r="D19" s="6"/>
      <c r="E19" s="7"/>
      <c r="F19" s="8"/>
      <c r="G19" s="68" t="s">
        <v>263</v>
      </c>
      <c r="H19" s="19">
        <v>1</v>
      </c>
      <c r="I19" s="28">
        <v>110000</v>
      </c>
      <c r="J19" s="15">
        <f t="shared" si="0"/>
        <v>110000</v>
      </c>
      <c r="L19">
        <v>181</v>
      </c>
    </row>
    <row r="20" spans="2:12" ht="15.75" x14ac:dyDescent="0.25">
      <c r="B20" s="124"/>
      <c r="C20" s="5"/>
      <c r="D20" s="6"/>
      <c r="E20" s="7"/>
      <c r="F20" s="8"/>
      <c r="G20" s="102" t="s">
        <v>189</v>
      </c>
      <c r="H20" s="14">
        <v>1</v>
      </c>
      <c r="I20" s="28">
        <v>450000</v>
      </c>
      <c r="J20" s="15">
        <f t="shared" si="0"/>
        <v>450000</v>
      </c>
      <c r="K20" s="33"/>
      <c r="L20">
        <v>188</v>
      </c>
    </row>
    <row r="21" spans="2:12" x14ac:dyDescent="0.25">
      <c r="B21" s="113" t="s">
        <v>12</v>
      </c>
      <c r="C21" s="113"/>
      <c r="D21" s="113"/>
      <c r="E21" s="113"/>
      <c r="F21" s="114">
        <f>SUM(F11:F20)</f>
        <v>13500000</v>
      </c>
      <c r="G21" s="115" t="s">
        <v>12</v>
      </c>
      <c r="H21" s="115"/>
      <c r="I21" s="115"/>
      <c r="J21" s="116">
        <f>SUM(J11:J20)</f>
        <v>5485000</v>
      </c>
      <c r="L21">
        <v>140</v>
      </c>
    </row>
    <row r="22" spans="2:12" ht="15.75" thickBot="1" x14ac:dyDescent="0.3">
      <c r="B22" s="113"/>
      <c r="C22" s="113"/>
      <c r="D22" s="113"/>
      <c r="E22" s="113"/>
      <c r="F22" s="114"/>
      <c r="G22" s="115"/>
      <c r="H22" s="115"/>
      <c r="I22" s="115"/>
      <c r="J22" s="116"/>
      <c r="L22">
        <v>133</v>
      </c>
    </row>
    <row r="23" spans="2:12" ht="15" customHeight="1" x14ac:dyDescent="0.25">
      <c r="B23" s="121" t="s">
        <v>449</v>
      </c>
      <c r="C23" s="121"/>
      <c r="D23" s="121"/>
      <c r="E23" s="121"/>
      <c r="F23" s="121"/>
      <c r="G23" s="121"/>
      <c r="H23" s="121"/>
      <c r="I23" s="121"/>
      <c r="J23" s="121"/>
      <c r="L23">
        <v>130</v>
      </c>
    </row>
    <row r="24" spans="2:12" x14ac:dyDescent="0.25">
      <c r="B24" s="122" t="s">
        <v>0</v>
      </c>
      <c r="C24" s="123" t="s">
        <v>1</v>
      </c>
      <c r="D24" s="123"/>
      <c r="E24" s="123"/>
      <c r="F24" s="123"/>
      <c r="G24" s="112" t="s">
        <v>2</v>
      </c>
      <c r="H24" s="112"/>
      <c r="I24" s="112"/>
      <c r="J24" s="112"/>
      <c r="L24">
        <v>120</v>
      </c>
    </row>
    <row r="25" spans="2:12" x14ac:dyDescent="0.25">
      <c r="B25" s="122"/>
      <c r="C25" s="2" t="s">
        <v>3</v>
      </c>
      <c r="D25" s="3" t="s">
        <v>4</v>
      </c>
      <c r="E25" s="3" t="s">
        <v>5</v>
      </c>
      <c r="F25" s="3" t="s">
        <v>6</v>
      </c>
      <c r="G25" s="2" t="s">
        <v>3</v>
      </c>
      <c r="H25" s="3" t="s">
        <v>4</v>
      </c>
      <c r="I25" s="3" t="s">
        <v>5</v>
      </c>
      <c r="J25" s="4" t="s">
        <v>6</v>
      </c>
      <c r="L25">
        <v>153</v>
      </c>
    </row>
    <row r="26" spans="2:12" ht="30" customHeight="1" x14ac:dyDescent="0.25">
      <c r="B26" s="125" t="s">
        <v>13</v>
      </c>
      <c r="C26" s="5" t="s">
        <v>14</v>
      </c>
      <c r="D26" s="6">
        <v>1</v>
      </c>
      <c r="E26" s="7">
        <v>2000000</v>
      </c>
      <c r="F26" s="8">
        <f t="shared" ref="F26:F49" si="1">D26*E26</f>
        <v>2000000</v>
      </c>
      <c r="G26" s="9" t="s">
        <v>15</v>
      </c>
      <c r="H26" s="93">
        <v>1</v>
      </c>
      <c r="I26" s="7">
        <v>1088000</v>
      </c>
      <c r="J26" s="15">
        <f t="shared" ref="J26:J60" si="2">H26*I26</f>
        <v>1088000</v>
      </c>
      <c r="L26">
        <v>170</v>
      </c>
    </row>
    <row r="27" spans="2:12" x14ac:dyDescent="0.25">
      <c r="B27" s="125"/>
      <c r="C27" s="11" t="s">
        <v>8</v>
      </c>
      <c r="D27" s="12">
        <v>15</v>
      </c>
      <c r="E27" s="13">
        <v>90000</v>
      </c>
      <c r="F27" s="8">
        <f t="shared" si="1"/>
        <v>1350000</v>
      </c>
      <c r="G27" s="17" t="s">
        <v>16</v>
      </c>
      <c r="H27" s="14">
        <v>1</v>
      </c>
      <c r="I27" s="18">
        <v>35000</v>
      </c>
      <c r="J27" s="15">
        <f t="shared" si="2"/>
        <v>35000</v>
      </c>
      <c r="L27">
        <f>SUM(L14:L26)</f>
        <v>2231</v>
      </c>
    </row>
    <row r="28" spans="2:12" x14ac:dyDescent="0.25">
      <c r="B28" s="125"/>
      <c r="C28" s="11"/>
      <c r="D28" s="12"/>
      <c r="E28" s="13"/>
      <c r="F28" s="8"/>
      <c r="G28" s="17" t="s">
        <v>86</v>
      </c>
      <c r="H28" s="14">
        <v>2</v>
      </c>
      <c r="I28" s="18">
        <v>45000</v>
      </c>
      <c r="J28" s="15">
        <f t="shared" si="2"/>
        <v>90000</v>
      </c>
    </row>
    <row r="29" spans="2:12" x14ac:dyDescent="0.25">
      <c r="B29" s="125"/>
      <c r="C29" s="5" t="s">
        <v>421</v>
      </c>
      <c r="D29" s="6">
        <v>10</v>
      </c>
      <c r="E29" s="7">
        <v>3000</v>
      </c>
      <c r="F29" s="8">
        <f t="shared" si="1"/>
        <v>30000</v>
      </c>
      <c r="G29" s="17" t="s">
        <v>17</v>
      </c>
      <c r="H29" s="14">
        <v>1</v>
      </c>
      <c r="I29" s="18">
        <v>1333</v>
      </c>
      <c r="J29" s="15">
        <f t="shared" si="2"/>
        <v>1333</v>
      </c>
    </row>
    <row r="30" spans="2:12" ht="15" customHeight="1" x14ac:dyDescent="0.25">
      <c r="B30" s="125"/>
      <c r="C30" s="11" t="s">
        <v>340</v>
      </c>
      <c r="D30" s="11">
        <v>1</v>
      </c>
      <c r="E30" s="8">
        <v>300000</v>
      </c>
      <c r="F30" s="8">
        <f t="shared" si="1"/>
        <v>300000</v>
      </c>
      <c r="G30" s="17" t="s">
        <v>18</v>
      </c>
      <c r="H30" s="14">
        <v>2</v>
      </c>
      <c r="I30" s="18">
        <v>32000</v>
      </c>
      <c r="J30" s="15">
        <f t="shared" si="2"/>
        <v>64000</v>
      </c>
    </row>
    <row r="31" spans="2:12" ht="15" customHeight="1" x14ac:dyDescent="0.25">
      <c r="B31" s="125"/>
      <c r="C31" s="11"/>
      <c r="D31" s="11"/>
      <c r="E31" s="11"/>
      <c r="F31" s="8"/>
      <c r="G31" s="17" t="s">
        <v>325</v>
      </c>
      <c r="H31" s="14">
        <v>1</v>
      </c>
      <c r="I31" s="18">
        <v>40000</v>
      </c>
      <c r="J31" s="15">
        <f t="shared" si="2"/>
        <v>40000</v>
      </c>
    </row>
    <row r="32" spans="2:12" x14ac:dyDescent="0.25">
      <c r="B32" s="125"/>
      <c r="C32" s="5"/>
      <c r="D32" s="6"/>
      <c r="E32" s="7"/>
      <c r="F32" s="8">
        <f t="shared" si="1"/>
        <v>0</v>
      </c>
      <c r="G32" s="17" t="s">
        <v>19</v>
      </c>
      <c r="H32" s="14">
        <v>1</v>
      </c>
      <c r="I32" s="18">
        <v>11000</v>
      </c>
      <c r="J32" s="15">
        <f t="shared" si="2"/>
        <v>11000</v>
      </c>
    </row>
    <row r="33" spans="2:10" x14ac:dyDescent="0.25">
      <c r="B33" s="125"/>
      <c r="C33" s="5"/>
      <c r="D33" s="6"/>
      <c r="E33" s="7"/>
      <c r="F33" s="8"/>
      <c r="G33" s="17" t="s">
        <v>88</v>
      </c>
      <c r="H33" s="14">
        <v>2</v>
      </c>
      <c r="I33" s="18">
        <v>13000</v>
      </c>
      <c r="J33" s="15">
        <f t="shared" si="2"/>
        <v>26000</v>
      </c>
    </row>
    <row r="34" spans="2:10" x14ac:dyDescent="0.25">
      <c r="B34" s="125"/>
      <c r="C34" s="5"/>
      <c r="D34" s="6"/>
      <c r="E34" s="7"/>
      <c r="F34" s="8"/>
      <c r="G34" s="17" t="s">
        <v>403</v>
      </c>
      <c r="H34" s="14">
        <v>3</v>
      </c>
      <c r="I34" s="18">
        <v>5900</v>
      </c>
      <c r="J34" s="15">
        <f t="shared" si="2"/>
        <v>17700</v>
      </c>
    </row>
    <row r="35" spans="2:10" x14ac:dyDescent="0.25">
      <c r="B35" s="125"/>
      <c r="C35" s="5"/>
      <c r="D35" s="6"/>
      <c r="E35" s="7"/>
      <c r="F35" s="8">
        <f t="shared" si="1"/>
        <v>0</v>
      </c>
      <c r="G35" s="17" t="s">
        <v>20</v>
      </c>
      <c r="H35" s="14">
        <v>2</v>
      </c>
      <c r="I35" s="18">
        <v>2000</v>
      </c>
      <c r="J35" s="15">
        <f t="shared" si="2"/>
        <v>4000</v>
      </c>
    </row>
    <row r="36" spans="2:10" x14ac:dyDescent="0.25">
      <c r="B36" s="125"/>
      <c r="C36" s="5"/>
      <c r="D36" s="6"/>
      <c r="E36" s="7"/>
      <c r="F36" s="8"/>
      <c r="G36" s="17" t="s">
        <v>79</v>
      </c>
      <c r="H36" s="14">
        <v>5</v>
      </c>
      <c r="I36" s="18">
        <v>5000</v>
      </c>
      <c r="J36" s="15">
        <f t="shared" si="2"/>
        <v>25000</v>
      </c>
    </row>
    <row r="37" spans="2:10" x14ac:dyDescent="0.25">
      <c r="B37" s="125"/>
      <c r="C37" s="5"/>
      <c r="D37" s="6"/>
      <c r="E37" s="7"/>
      <c r="F37" s="8">
        <f t="shared" si="1"/>
        <v>0</v>
      </c>
      <c r="G37" s="17" t="s">
        <v>21</v>
      </c>
      <c r="H37" s="14">
        <v>2</v>
      </c>
      <c r="I37" s="18">
        <v>1333</v>
      </c>
      <c r="J37" s="15">
        <f t="shared" si="2"/>
        <v>2666</v>
      </c>
    </row>
    <row r="38" spans="2:10" x14ac:dyDescent="0.25">
      <c r="B38" s="125"/>
      <c r="C38" s="5"/>
      <c r="D38" s="6"/>
      <c r="E38" s="7"/>
      <c r="F38" s="8">
        <f t="shared" si="1"/>
        <v>0</v>
      </c>
      <c r="G38" s="17" t="s">
        <v>22</v>
      </c>
      <c r="H38" s="19">
        <v>15</v>
      </c>
      <c r="I38" s="18">
        <v>4000</v>
      </c>
      <c r="J38" s="15">
        <f t="shared" si="2"/>
        <v>60000</v>
      </c>
    </row>
    <row r="39" spans="2:10" x14ac:dyDescent="0.25">
      <c r="B39" s="125"/>
      <c r="C39" s="5"/>
      <c r="D39" s="6"/>
      <c r="E39" s="7"/>
      <c r="F39" s="8"/>
      <c r="G39" s="17" t="s">
        <v>69</v>
      </c>
      <c r="H39" s="19">
        <v>3</v>
      </c>
      <c r="I39" s="18">
        <v>3000</v>
      </c>
      <c r="J39" s="15">
        <f t="shared" si="2"/>
        <v>9000</v>
      </c>
    </row>
    <row r="40" spans="2:10" x14ac:dyDescent="0.25">
      <c r="B40" s="125"/>
      <c r="C40" s="5"/>
      <c r="D40" s="6"/>
      <c r="E40" s="7"/>
      <c r="F40" s="8"/>
      <c r="G40" s="17" t="s">
        <v>23</v>
      </c>
      <c r="H40" s="14">
        <v>6</v>
      </c>
      <c r="I40" s="18">
        <v>2000</v>
      </c>
      <c r="J40" s="15">
        <f t="shared" si="2"/>
        <v>12000</v>
      </c>
    </row>
    <row r="41" spans="2:10" ht="15.75" x14ac:dyDescent="0.25">
      <c r="B41" s="125"/>
      <c r="C41" s="5"/>
      <c r="D41" s="6"/>
      <c r="E41" s="7"/>
      <c r="F41" s="8"/>
      <c r="G41" s="92" t="s">
        <v>358</v>
      </c>
      <c r="H41" s="14">
        <v>3</v>
      </c>
      <c r="I41" s="18"/>
      <c r="J41" s="15"/>
    </row>
    <row r="42" spans="2:10" ht="30" x14ac:dyDescent="0.25">
      <c r="B42" s="125"/>
      <c r="C42" s="5"/>
      <c r="D42" s="6"/>
      <c r="E42" s="7"/>
      <c r="F42" s="8">
        <f t="shared" si="1"/>
        <v>0</v>
      </c>
      <c r="G42" s="17" t="s">
        <v>24</v>
      </c>
      <c r="H42" s="19">
        <v>10</v>
      </c>
      <c r="I42" s="30">
        <v>146667</v>
      </c>
      <c r="J42" s="10">
        <f t="shared" si="2"/>
        <v>1466670</v>
      </c>
    </row>
    <row r="43" spans="2:10" ht="30" x14ac:dyDescent="0.25">
      <c r="B43" s="125"/>
      <c r="C43" s="5"/>
      <c r="D43" s="6"/>
      <c r="E43" s="7"/>
      <c r="F43" s="8"/>
      <c r="G43" s="17" t="s">
        <v>70</v>
      </c>
      <c r="H43" s="69">
        <v>1</v>
      </c>
      <c r="I43" s="30">
        <v>200000</v>
      </c>
      <c r="J43" s="10">
        <f t="shared" si="2"/>
        <v>200000</v>
      </c>
    </row>
    <row r="44" spans="2:10" x14ac:dyDescent="0.25">
      <c r="B44" s="125"/>
      <c r="C44" s="5"/>
      <c r="D44" s="6"/>
      <c r="E44" s="7"/>
      <c r="F44" s="8">
        <f t="shared" si="1"/>
        <v>0</v>
      </c>
      <c r="G44" s="17" t="s">
        <v>25</v>
      </c>
      <c r="H44" s="14">
        <v>5</v>
      </c>
      <c r="I44" s="18">
        <v>2000</v>
      </c>
      <c r="J44" s="15">
        <f t="shared" si="2"/>
        <v>10000</v>
      </c>
    </row>
    <row r="45" spans="2:10" x14ac:dyDescent="0.25">
      <c r="B45" s="125"/>
      <c r="C45" s="5"/>
      <c r="D45" s="6"/>
      <c r="E45" s="7"/>
      <c r="F45" s="8">
        <f t="shared" si="1"/>
        <v>0</v>
      </c>
      <c r="G45" s="17" t="s">
        <v>26</v>
      </c>
      <c r="H45" s="19">
        <v>4</v>
      </c>
      <c r="I45" s="18">
        <v>1333</v>
      </c>
      <c r="J45" s="15">
        <f t="shared" si="2"/>
        <v>5332</v>
      </c>
    </row>
    <row r="46" spans="2:10" x14ac:dyDescent="0.25">
      <c r="B46" s="125"/>
      <c r="C46" s="5"/>
      <c r="D46" s="6"/>
      <c r="E46" s="7"/>
      <c r="F46" s="8">
        <f t="shared" si="1"/>
        <v>0</v>
      </c>
      <c r="G46" s="17" t="s">
        <v>27</v>
      </c>
      <c r="H46" s="19">
        <v>7</v>
      </c>
      <c r="I46" s="18">
        <v>38000</v>
      </c>
      <c r="J46" s="15">
        <f t="shared" si="2"/>
        <v>266000</v>
      </c>
    </row>
    <row r="47" spans="2:10" x14ac:dyDescent="0.25">
      <c r="B47" s="125"/>
      <c r="C47" s="5"/>
      <c r="D47" s="6"/>
      <c r="E47" s="7"/>
      <c r="F47" s="8">
        <f t="shared" si="1"/>
        <v>0</v>
      </c>
      <c r="G47" s="17" t="s">
        <v>28</v>
      </c>
      <c r="H47" s="19">
        <v>5</v>
      </c>
      <c r="I47" s="18">
        <v>2700</v>
      </c>
      <c r="J47" s="15">
        <f t="shared" si="2"/>
        <v>13500</v>
      </c>
    </row>
    <row r="48" spans="2:10" x14ac:dyDescent="0.25">
      <c r="B48" s="125"/>
      <c r="C48" s="5"/>
      <c r="D48" s="6"/>
      <c r="E48" s="7"/>
      <c r="F48" s="8"/>
      <c r="G48" s="17" t="s">
        <v>402</v>
      </c>
      <c r="H48" s="19">
        <v>1</v>
      </c>
      <c r="I48" s="18">
        <v>2700</v>
      </c>
      <c r="J48" s="15">
        <f t="shared" si="2"/>
        <v>2700</v>
      </c>
    </row>
    <row r="49" spans="2:12" x14ac:dyDescent="0.25">
      <c r="B49" s="125"/>
      <c r="C49" s="5"/>
      <c r="D49" s="6"/>
      <c r="E49" s="7"/>
      <c r="F49" s="8">
        <f t="shared" si="1"/>
        <v>0</v>
      </c>
      <c r="G49" s="17" t="s">
        <v>80</v>
      </c>
      <c r="H49" s="14">
        <v>2</v>
      </c>
      <c r="I49" s="18">
        <v>16000</v>
      </c>
      <c r="J49" s="15">
        <f t="shared" si="2"/>
        <v>32000</v>
      </c>
      <c r="L49">
        <v>130</v>
      </c>
    </row>
    <row r="50" spans="2:12" x14ac:dyDescent="0.25">
      <c r="B50" s="125"/>
      <c r="C50" s="5"/>
      <c r="D50" s="6"/>
      <c r="E50" s="7"/>
      <c r="F50" s="8"/>
      <c r="G50" s="17" t="s">
        <v>29</v>
      </c>
      <c r="H50" s="14">
        <v>4</v>
      </c>
      <c r="I50" s="18">
        <v>533</v>
      </c>
      <c r="J50" s="15">
        <f t="shared" si="2"/>
        <v>2132</v>
      </c>
    </row>
    <row r="51" spans="2:12" x14ac:dyDescent="0.25">
      <c r="B51" s="125"/>
      <c r="C51" s="5"/>
      <c r="D51" s="6"/>
      <c r="E51" s="7"/>
      <c r="F51" s="8"/>
      <c r="G51" s="17" t="s">
        <v>30</v>
      </c>
      <c r="H51" s="14">
        <v>4</v>
      </c>
      <c r="I51" s="18">
        <v>533</v>
      </c>
      <c r="J51" s="15">
        <f t="shared" si="2"/>
        <v>2132</v>
      </c>
    </row>
    <row r="52" spans="2:12" x14ac:dyDescent="0.25">
      <c r="B52" s="125"/>
      <c r="C52" s="5"/>
      <c r="D52" s="6"/>
      <c r="E52" s="7"/>
      <c r="F52" s="8"/>
      <c r="G52" s="17" t="s">
        <v>326</v>
      </c>
      <c r="H52" s="14">
        <v>1</v>
      </c>
      <c r="I52" s="18">
        <v>5000</v>
      </c>
      <c r="J52" s="15">
        <f t="shared" si="2"/>
        <v>5000</v>
      </c>
    </row>
    <row r="53" spans="2:12" x14ac:dyDescent="0.25">
      <c r="B53" s="125"/>
      <c r="C53" s="5"/>
      <c r="D53" s="6"/>
      <c r="E53" s="7"/>
      <c r="F53" s="8"/>
      <c r="G53" s="17" t="s">
        <v>327</v>
      </c>
      <c r="H53" s="14">
        <v>1</v>
      </c>
      <c r="I53" s="18">
        <v>5000</v>
      </c>
      <c r="J53" s="15">
        <f t="shared" si="2"/>
        <v>5000</v>
      </c>
    </row>
    <row r="54" spans="2:12" x14ac:dyDescent="0.25">
      <c r="B54" s="125"/>
      <c r="C54" s="5"/>
      <c r="D54" s="6"/>
      <c r="E54" s="7"/>
      <c r="F54" s="8"/>
      <c r="G54" s="17" t="s">
        <v>328</v>
      </c>
      <c r="H54" s="14">
        <v>1</v>
      </c>
      <c r="I54" s="18">
        <v>3000</v>
      </c>
      <c r="J54" s="15">
        <f t="shared" si="2"/>
        <v>3000</v>
      </c>
    </row>
    <row r="55" spans="2:12" x14ac:dyDescent="0.25">
      <c r="B55" s="125"/>
      <c r="C55" s="5"/>
      <c r="D55" s="6"/>
      <c r="E55" s="7"/>
      <c r="F55" s="8"/>
      <c r="G55" s="17" t="s">
        <v>31</v>
      </c>
      <c r="H55" s="14">
        <v>4</v>
      </c>
      <c r="I55" s="18">
        <v>3000</v>
      </c>
      <c r="J55" s="15">
        <f t="shared" si="2"/>
        <v>12000</v>
      </c>
    </row>
    <row r="56" spans="2:12" x14ac:dyDescent="0.25">
      <c r="B56" s="125"/>
      <c r="C56" s="5"/>
      <c r="D56" s="6"/>
      <c r="E56" s="7"/>
      <c r="F56" s="8">
        <f>D56*E56</f>
        <v>0</v>
      </c>
      <c r="G56" s="17" t="s">
        <v>400</v>
      </c>
      <c r="H56" s="14">
        <v>10</v>
      </c>
      <c r="I56" s="18">
        <v>5333</v>
      </c>
      <c r="J56" s="15">
        <f t="shared" si="2"/>
        <v>53330</v>
      </c>
    </row>
    <row r="57" spans="2:12" x14ac:dyDescent="0.25">
      <c r="B57" s="125"/>
      <c r="C57" s="5"/>
      <c r="D57" s="6"/>
      <c r="E57" s="7"/>
      <c r="F57" s="8"/>
      <c r="G57" s="17" t="s">
        <v>32</v>
      </c>
      <c r="H57" s="14">
        <v>1</v>
      </c>
      <c r="I57" s="18">
        <v>160000</v>
      </c>
      <c r="J57" s="15">
        <f t="shared" si="2"/>
        <v>160000</v>
      </c>
    </row>
    <row r="58" spans="2:12" ht="15.75" customHeight="1" x14ac:dyDescent="0.25">
      <c r="B58" s="125"/>
      <c r="C58" s="5"/>
      <c r="D58" s="6"/>
      <c r="E58" s="7"/>
      <c r="F58" s="8"/>
      <c r="G58" s="16" t="s">
        <v>33</v>
      </c>
      <c r="H58" s="14">
        <v>2</v>
      </c>
      <c r="I58" s="18">
        <v>53333</v>
      </c>
      <c r="J58" s="15">
        <f t="shared" si="2"/>
        <v>106666</v>
      </c>
    </row>
    <row r="59" spans="2:12" ht="33" customHeight="1" x14ac:dyDescent="0.25">
      <c r="B59" s="125"/>
      <c r="C59" s="5"/>
      <c r="D59" s="6"/>
      <c r="E59" s="7"/>
      <c r="F59" s="8"/>
      <c r="G59" s="16" t="s">
        <v>78</v>
      </c>
      <c r="H59" s="14">
        <v>1</v>
      </c>
      <c r="I59" s="18">
        <v>3633300</v>
      </c>
      <c r="J59" s="15">
        <f t="shared" si="2"/>
        <v>3633300</v>
      </c>
    </row>
    <row r="60" spans="2:12" x14ac:dyDescent="0.25">
      <c r="B60" s="125"/>
      <c r="C60" s="5"/>
      <c r="D60" s="6"/>
      <c r="E60" s="7"/>
      <c r="F60" s="8"/>
      <c r="G60" s="17" t="s">
        <v>34</v>
      </c>
      <c r="H60" s="14">
        <v>20</v>
      </c>
      <c r="I60" s="18">
        <v>20000</v>
      </c>
      <c r="J60" s="15">
        <f t="shared" si="2"/>
        <v>400000</v>
      </c>
    </row>
    <row r="61" spans="2:12" x14ac:dyDescent="0.25">
      <c r="B61" s="113" t="s">
        <v>12</v>
      </c>
      <c r="C61" s="113"/>
      <c r="D61" s="113"/>
      <c r="E61" s="113"/>
      <c r="F61" s="114">
        <f>SUM(F26:F57)</f>
        <v>3680000</v>
      </c>
      <c r="G61" s="115" t="s">
        <v>12</v>
      </c>
      <c r="H61" s="115"/>
      <c r="I61" s="115"/>
      <c r="J61" s="116">
        <f>SUM(J26:J60)</f>
        <v>7864461</v>
      </c>
    </row>
    <row r="62" spans="2:12" ht="15.75" thickBot="1" x14ac:dyDescent="0.3">
      <c r="B62" s="113"/>
      <c r="C62" s="113"/>
      <c r="D62" s="113"/>
      <c r="E62" s="113"/>
      <c r="F62" s="114"/>
      <c r="G62" s="115"/>
      <c r="H62" s="115"/>
      <c r="I62" s="115"/>
      <c r="J62" s="116"/>
    </row>
    <row r="63" spans="2:12" ht="15" customHeight="1" x14ac:dyDescent="0.25">
      <c r="B63" s="121" t="s">
        <v>448</v>
      </c>
      <c r="C63" s="121"/>
      <c r="D63" s="121"/>
      <c r="E63" s="121"/>
      <c r="F63" s="121"/>
      <c r="G63" s="121"/>
      <c r="H63" s="121"/>
      <c r="I63" s="121"/>
      <c r="J63" s="121"/>
    </row>
    <row r="64" spans="2:12" x14ac:dyDescent="0.25">
      <c r="B64" s="122" t="s">
        <v>0</v>
      </c>
      <c r="C64" s="123" t="s">
        <v>1</v>
      </c>
      <c r="D64" s="123"/>
      <c r="E64" s="123"/>
      <c r="F64" s="123"/>
      <c r="G64" s="112" t="s">
        <v>2</v>
      </c>
      <c r="H64" s="112"/>
      <c r="I64" s="112"/>
      <c r="J64" s="112"/>
    </row>
    <row r="65" spans="2:12" x14ac:dyDescent="0.25">
      <c r="B65" s="122"/>
      <c r="C65" s="2" t="s">
        <v>3</v>
      </c>
      <c r="D65" s="3" t="s">
        <v>4</v>
      </c>
      <c r="E65" s="3" t="s">
        <v>5</v>
      </c>
      <c r="F65" s="3" t="s">
        <v>6</v>
      </c>
      <c r="G65" s="2" t="s">
        <v>3</v>
      </c>
      <c r="H65" s="3" t="s">
        <v>4</v>
      </c>
      <c r="I65" s="3" t="s">
        <v>5</v>
      </c>
      <c r="J65" s="4" t="s">
        <v>6</v>
      </c>
    </row>
    <row r="66" spans="2:12" x14ac:dyDescent="0.25">
      <c r="B66" s="2"/>
      <c r="C66" s="2"/>
      <c r="D66" s="3"/>
      <c r="E66" s="3"/>
      <c r="F66" s="21"/>
      <c r="G66" s="96" t="s">
        <v>420</v>
      </c>
      <c r="H66" s="72">
        <v>267</v>
      </c>
      <c r="I66" s="18">
        <v>1500</v>
      </c>
      <c r="J66" s="15">
        <f t="shared" ref="J66:J76" si="3">H66*I66</f>
        <v>400500</v>
      </c>
      <c r="L66">
        <f>2300/3</f>
        <v>766.66666666666663</v>
      </c>
    </row>
    <row r="67" spans="2:12" x14ac:dyDescent="0.25">
      <c r="B67" s="20"/>
      <c r="C67" s="5" t="s">
        <v>8</v>
      </c>
      <c r="D67" s="6">
        <v>10</v>
      </c>
      <c r="E67" s="7">
        <v>90000</v>
      </c>
      <c r="F67" s="8">
        <f>D67*E67</f>
        <v>900000</v>
      </c>
      <c r="G67" s="97" t="s">
        <v>36</v>
      </c>
      <c r="H67" s="72">
        <v>267</v>
      </c>
      <c r="I67" s="18">
        <v>1500</v>
      </c>
      <c r="J67" s="15">
        <f t="shared" si="3"/>
        <v>400500</v>
      </c>
    </row>
    <row r="68" spans="2:12" x14ac:dyDescent="0.25">
      <c r="B68" s="20"/>
      <c r="C68" s="5"/>
      <c r="D68" s="6"/>
      <c r="E68" s="7"/>
      <c r="F68" s="8">
        <f t="shared" ref="F68" si="4">D68*E68</f>
        <v>0</v>
      </c>
      <c r="G68" s="97" t="s">
        <v>451</v>
      </c>
      <c r="H68" s="72">
        <v>267</v>
      </c>
      <c r="I68" s="18">
        <v>1500</v>
      </c>
      <c r="J68" s="15">
        <f t="shared" si="3"/>
        <v>400500</v>
      </c>
    </row>
    <row r="69" spans="2:12" x14ac:dyDescent="0.25">
      <c r="B69" s="20"/>
      <c r="C69" s="5"/>
      <c r="D69" s="6"/>
      <c r="E69" s="7"/>
      <c r="F69" s="8"/>
      <c r="G69" s="17"/>
      <c r="H69" s="72"/>
      <c r="I69" s="18">
        <v>1500</v>
      </c>
      <c r="J69" s="15">
        <f>H69*I69</f>
        <v>0</v>
      </c>
    </row>
    <row r="70" spans="2:12" x14ac:dyDescent="0.25">
      <c r="B70" s="20"/>
      <c r="C70" s="5"/>
      <c r="D70" s="6"/>
      <c r="E70" s="7"/>
      <c r="F70" s="8"/>
      <c r="G70" s="97"/>
      <c r="H70" s="72"/>
      <c r="I70" s="18"/>
      <c r="J70" s="15"/>
    </row>
    <row r="71" spans="2:12" x14ac:dyDescent="0.25">
      <c r="B71" s="20"/>
      <c r="C71" s="5"/>
      <c r="D71" s="6"/>
      <c r="E71" s="7"/>
      <c r="F71" s="8"/>
      <c r="G71" s="17"/>
      <c r="H71" s="72"/>
      <c r="I71" s="18"/>
      <c r="J71" s="15"/>
    </row>
    <row r="72" spans="2:12" x14ac:dyDescent="0.25">
      <c r="B72" s="20"/>
      <c r="C72" s="5"/>
      <c r="D72" s="6"/>
      <c r="E72" s="7"/>
      <c r="F72" s="8"/>
      <c r="G72" s="17"/>
      <c r="H72" s="29"/>
      <c r="I72" s="18"/>
      <c r="J72" s="15"/>
    </row>
    <row r="73" spans="2:12" x14ac:dyDescent="0.25">
      <c r="B73" s="20"/>
      <c r="C73" s="5"/>
      <c r="D73" s="6"/>
      <c r="E73" s="7"/>
      <c r="F73" s="8"/>
      <c r="G73" s="17"/>
      <c r="H73" s="29"/>
      <c r="I73" s="18"/>
      <c r="J73" s="15"/>
    </row>
    <row r="74" spans="2:12" x14ac:dyDescent="0.25">
      <c r="B74" s="20"/>
      <c r="C74" s="5"/>
      <c r="D74" s="6"/>
      <c r="E74" s="7"/>
      <c r="F74" s="8"/>
      <c r="G74" s="17"/>
      <c r="H74" s="29"/>
      <c r="I74" s="18"/>
      <c r="J74" s="15">
        <f t="shared" si="3"/>
        <v>0</v>
      </c>
    </row>
    <row r="75" spans="2:12" x14ac:dyDescent="0.25">
      <c r="B75" s="20"/>
      <c r="C75" s="5"/>
      <c r="D75" s="6"/>
      <c r="E75" s="7"/>
      <c r="F75" s="8"/>
      <c r="G75" s="17"/>
      <c r="H75" s="29"/>
      <c r="I75" s="18"/>
      <c r="J75" s="15">
        <f t="shared" si="3"/>
        <v>0</v>
      </c>
    </row>
    <row r="76" spans="2:12" x14ac:dyDescent="0.25">
      <c r="B76" s="22"/>
      <c r="C76" s="5"/>
      <c r="D76" s="6"/>
      <c r="E76" s="7"/>
      <c r="F76" s="8"/>
      <c r="J76" s="15">
        <f t="shared" si="3"/>
        <v>0</v>
      </c>
    </row>
    <row r="77" spans="2:12" x14ac:dyDescent="0.25">
      <c r="B77" s="113" t="s">
        <v>12</v>
      </c>
      <c r="C77" s="113"/>
      <c r="D77" s="113"/>
      <c r="E77" s="113"/>
      <c r="F77" s="114">
        <f>SUM(F67:F76)</f>
        <v>900000</v>
      </c>
      <c r="G77" s="115" t="s">
        <v>12</v>
      </c>
      <c r="H77" s="115"/>
      <c r="I77" s="115"/>
      <c r="J77" s="116">
        <f>SUM(J66:J76)</f>
        <v>1201500</v>
      </c>
    </row>
    <row r="78" spans="2:12" ht="15.75" thickBot="1" x14ac:dyDescent="0.3">
      <c r="B78" s="113"/>
      <c r="C78" s="113"/>
      <c r="D78" s="113"/>
      <c r="E78" s="113"/>
      <c r="F78" s="114"/>
      <c r="G78" s="115"/>
      <c r="H78" s="115"/>
      <c r="I78" s="115"/>
      <c r="J78" s="116"/>
    </row>
    <row r="79" spans="2:12" ht="14.85" customHeight="1" x14ac:dyDescent="0.25">
      <c r="B79" s="121" t="s">
        <v>452</v>
      </c>
      <c r="C79" s="121"/>
      <c r="D79" s="121"/>
      <c r="E79" s="121"/>
      <c r="F79" s="121"/>
      <c r="G79" s="121"/>
      <c r="H79" s="121"/>
      <c r="I79" s="121"/>
      <c r="J79" s="121"/>
    </row>
    <row r="80" spans="2:12" x14ac:dyDescent="0.25">
      <c r="B80" s="122" t="s">
        <v>0</v>
      </c>
      <c r="C80" s="123" t="s">
        <v>1</v>
      </c>
      <c r="D80" s="123"/>
      <c r="E80" s="123"/>
      <c r="F80" s="123"/>
      <c r="G80" s="112" t="s">
        <v>2</v>
      </c>
      <c r="H80" s="112"/>
      <c r="I80" s="112"/>
      <c r="J80" s="112"/>
    </row>
    <row r="81" spans="1:10" x14ac:dyDescent="0.25">
      <c r="B81" s="122"/>
      <c r="C81" s="2" t="s">
        <v>3</v>
      </c>
      <c r="D81" s="3" t="s">
        <v>4</v>
      </c>
      <c r="E81" s="3" t="s">
        <v>5</v>
      </c>
      <c r="F81" s="3" t="s">
        <v>6</v>
      </c>
      <c r="G81" s="2" t="s">
        <v>3</v>
      </c>
      <c r="H81" s="3" t="s">
        <v>4</v>
      </c>
      <c r="I81" s="3" t="s">
        <v>5</v>
      </c>
      <c r="J81" s="4" t="s">
        <v>6</v>
      </c>
    </row>
    <row r="82" spans="1:10" x14ac:dyDescent="0.25">
      <c r="B82" s="124"/>
      <c r="C82" s="5" t="s">
        <v>43</v>
      </c>
      <c r="D82" s="6">
        <v>200</v>
      </c>
      <c r="E82" s="7">
        <v>5000</v>
      </c>
      <c r="F82" s="8">
        <f t="shared" ref="F82:F104" si="5">D82*E82</f>
        <v>1000000</v>
      </c>
      <c r="G82" s="23" t="s">
        <v>42</v>
      </c>
      <c r="H82" s="6">
        <v>5</v>
      </c>
      <c r="I82" s="7">
        <v>15000</v>
      </c>
      <c r="J82" s="15">
        <f>H82*I82</f>
        <v>75000</v>
      </c>
    </row>
    <row r="83" spans="1:10" x14ac:dyDescent="0.25">
      <c r="B83" s="124"/>
      <c r="C83" s="5" t="s">
        <v>45</v>
      </c>
      <c r="D83" s="12">
        <v>30</v>
      </c>
      <c r="E83" s="13">
        <v>2000</v>
      </c>
      <c r="F83" s="8">
        <f t="shared" si="5"/>
        <v>60000</v>
      </c>
      <c r="G83" s="23" t="s">
        <v>76</v>
      </c>
      <c r="H83" s="14">
        <v>10</v>
      </c>
      <c r="I83" s="7">
        <v>15000</v>
      </c>
      <c r="J83" s="15">
        <f t="shared" ref="J83:J115" si="6">H83*I83</f>
        <v>150000</v>
      </c>
    </row>
    <row r="84" spans="1:10" x14ac:dyDescent="0.25">
      <c r="B84" s="124"/>
      <c r="C84" s="5" t="s">
        <v>46</v>
      </c>
      <c r="D84" s="6">
        <v>100</v>
      </c>
      <c r="E84" s="7">
        <v>1000</v>
      </c>
      <c r="F84" s="8">
        <f t="shared" si="5"/>
        <v>100000</v>
      </c>
      <c r="G84" s="23" t="s">
        <v>47</v>
      </c>
      <c r="H84" s="14">
        <v>5</v>
      </c>
      <c r="I84" s="7">
        <v>15000</v>
      </c>
      <c r="J84" s="15">
        <f t="shared" si="6"/>
        <v>75000</v>
      </c>
    </row>
    <row r="85" spans="1:10" x14ac:dyDescent="0.25">
      <c r="A85">
        <v>540</v>
      </c>
      <c r="B85" s="124"/>
      <c r="C85" s="5"/>
      <c r="D85" s="14"/>
      <c r="E85" s="18">
        <v>5000</v>
      </c>
      <c r="F85" s="8">
        <f t="shared" si="5"/>
        <v>0</v>
      </c>
      <c r="G85" s="23" t="s">
        <v>52</v>
      </c>
      <c r="H85" s="14">
        <v>10</v>
      </c>
      <c r="I85" s="18">
        <v>15000</v>
      </c>
      <c r="J85" s="15">
        <f t="shared" si="6"/>
        <v>150000</v>
      </c>
    </row>
    <row r="86" spans="1:10" x14ac:dyDescent="0.25">
      <c r="B86" s="124"/>
      <c r="C86" s="5"/>
      <c r="D86" s="6"/>
      <c r="E86" s="7"/>
      <c r="F86" s="8">
        <f t="shared" si="5"/>
        <v>0</v>
      </c>
      <c r="G86" s="23" t="s">
        <v>50</v>
      </c>
      <c r="H86" s="14">
        <v>10</v>
      </c>
      <c r="I86" s="18">
        <v>15000</v>
      </c>
      <c r="J86" s="15">
        <f t="shared" si="6"/>
        <v>150000</v>
      </c>
    </row>
    <row r="87" spans="1:10" x14ac:dyDescent="0.25">
      <c r="B87" s="124"/>
      <c r="C87" s="11"/>
      <c r="D87" s="12"/>
      <c r="E87" s="7"/>
      <c r="F87" s="8">
        <f t="shared" si="5"/>
        <v>0</v>
      </c>
      <c r="G87" s="11" t="s">
        <v>54</v>
      </c>
      <c r="H87" s="12">
        <v>5</v>
      </c>
      <c r="I87" s="18">
        <v>8000</v>
      </c>
      <c r="J87" s="15">
        <f t="shared" si="6"/>
        <v>40000</v>
      </c>
    </row>
    <row r="88" spans="1:10" x14ac:dyDescent="0.25">
      <c r="B88" s="124"/>
      <c r="C88" s="5"/>
      <c r="D88" s="1"/>
      <c r="E88" s="7"/>
      <c r="F88" s="8">
        <f t="shared" si="5"/>
        <v>0</v>
      </c>
      <c r="G88" s="23" t="s">
        <v>441</v>
      </c>
      <c r="H88" s="14">
        <v>10</v>
      </c>
      <c r="I88" s="18">
        <v>8000</v>
      </c>
      <c r="J88" s="15">
        <f>H87*I88</f>
        <v>40000</v>
      </c>
    </row>
    <row r="89" spans="1:10" x14ac:dyDescent="0.25">
      <c r="B89" s="124"/>
      <c r="C89" s="5"/>
      <c r="D89" s="6"/>
      <c r="E89" s="7"/>
      <c r="F89" s="8">
        <f t="shared" si="5"/>
        <v>0</v>
      </c>
      <c r="G89" s="11" t="s">
        <v>71</v>
      </c>
      <c r="H89" s="6">
        <v>10</v>
      </c>
      <c r="I89" s="18">
        <v>8000</v>
      </c>
      <c r="J89" s="15">
        <f>H88*I89</f>
        <v>80000</v>
      </c>
    </row>
    <row r="90" spans="1:10" x14ac:dyDescent="0.25">
      <c r="B90" s="124"/>
      <c r="C90" s="5"/>
      <c r="D90" s="6"/>
      <c r="E90" s="7"/>
      <c r="F90" s="8">
        <f t="shared" si="5"/>
        <v>0</v>
      </c>
      <c r="G90" s="11" t="s">
        <v>53</v>
      </c>
      <c r="H90" s="103">
        <v>10</v>
      </c>
      <c r="I90" s="18">
        <v>8000</v>
      </c>
      <c r="J90" s="15">
        <f t="shared" ref="J90:J91" si="7">H89*I90</f>
        <v>80000</v>
      </c>
    </row>
    <row r="91" spans="1:10" x14ac:dyDescent="0.25">
      <c r="B91" s="124"/>
      <c r="C91" s="5"/>
      <c r="D91" s="6"/>
      <c r="E91" s="7"/>
      <c r="F91" s="8">
        <f t="shared" si="5"/>
        <v>0</v>
      </c>
      <c r="G91" s="11" t="s">
        <v>425</v>
      </c>
      <c r="H91" s="12">
        <v>15</v>
      </c>
      <c r="I91" s="18">
        <v>5000</v>
      </c>
      <c r="J91" s="15">
        <f t="shared" si="7"/>
        <v>50000</v>
      </c>
    </row>
    <row r="92" spans="1:10" x14ac:dyDescent="0.25">
      <c r="B92" s="124"/>
      <c r="C92" s="5"/>
      <c r="D92" s="6"/>
      <c r="E92" s="7"/>
      <c r="F92" s="8"/>
      <c r="G92" s="11"/>
      <c r="H92" s="11"/>
      <c r="I92" s="11"/>
      <c r="J92" s="15"/>
    </row>
    <row r="93" spans="1:10" x14ac:dyDescent="0.25">
      <c r="B93" s="124"/>
      <c r="C93" s="5"/>
      <c r="D93" s="6"/>
      <c r="E93" s="7"/>
      <c r="F93" s="8"/>
      <c r="G93" s="11"/>
      <c r="H93" s="11"/>
      <c r="I93" s="11"/>
      <c r="J93" s="15"/>
    </row>
    <row r="94" spans="1:10" x14ac:dyDescent="0.25">
      <c r="B94" s="124"/>
      <c r="C94" s="5"/>
      <c r="D94" s="6"/>
      <c r="E94" s="7"/>
      <c r="F94" s="8"/>
      <c r="G94" s="11"/>
      <c r="H94" s="11"/>
      <c r="I94" s="11"/>
      <c r="J94" s="15"/>
    </row>
    <row r="95" spans="1:10" x14ac:dyDescent="0.25">
      <c r="B95" s="124"/>
      <c r="C95" s="5"/>
      <c r="D95" s="6"/>
      <c r="E95" s="7"/>
      <c r="F95" s="8">
        <f t="shared" si="5"/>
        <v>0</v>
      </c>
      <c r="G95" s="23"/>
      <c r="H95" s="94"/>
      <c r="I95" s="18"/>
      <c r="J95" s="15"/>
    </row>
    <row r="96" spans="1:10" x14ac:dyDescent="0.25">
      <c r="B96" s="124"/>
      <c r="C96" s="5"/>
      <c r="D96" s="6"/>
      <c r="E96" s="7"/>
      <c r="F96" s="8">
        <f t="shared" si="5"/>
        <v>0</v>
      </c>
      <c r="G96" s="23" t="s">
        <v>55</v>
      </c>
      <c r="H96" s="14">
        <v>1</v>
      </c>
      <c r="I96" s="18">
        <v>194000</v>
      </c>
      <c r="J96" s="15">
        <f t="shared" si="6"/>
        <v>194000</v>
      </c>
    </row>
    <row r="97" spans="2:12" x14ac:dyDescent="0.25">
      <c r="B97" s="124"/>
      <c r="C97" s="5"/>
      <c r="D97" s="6"/>
      <c r="E97" s="7"/>
      <c r="F97" s="8">
        <f t="shared" si="5"/>
        <v>0</v>
      </c>
      <c r="G97" s="23" t="s">
        <v>56</v>
      </c>
      <c r="H97" s="94">
        <v>2</v>
      </c>
      <c r="I97" s="18">
        <v>8667</v>
      </c>
      <c r="J97" s="15">
        <f t="shared" si="6"/>
        <v>17334</v>
      </c>
    </row>
    <row r="98" spans="2:12" x14ac:dyDescent="0.25">
      <c r="B98" s="124"/>
      <c r="C98" s="5"/>
      <c r="D98" s="6"/>
      <c r="E98" s="7"/>
      <c r="F98" s="8">
        <f t="shared" si="5"/>
        <v>0</v>
      </c>
      <c r="G98" s="23" t="s">
        <v>57</v>
      </c>
      <c r="H98" s="94">
        <v>2</v>
      </c>
      <c r="I98" s="18">
        <v>13333</v>
      </c>
      <c r="J98" s="15">
        <f t="shared" si="6"/>
        <v>26666</v>
      </c>
    </row>
    <row r="99" spans="2:12" x14ac:dyDescent="0.25">
      <c r="B99" s="124"/>
      <c r="C99" s="99"/>
      <c r="D99" s="93"/>
      <c r="E99" s="7"/>
      <c r="F99" s="8">
        <f t="shared" si="5"/>
        <v>0</v>
      </c>
      <c r="G99" s="23" t="s">
        <v>67</v>
      </c>
      <c r="H99" s="94">
        <v>1</v>
      </c>
      <c r="I99" s="18">
        <v>42667</v>
      </c>
      <c r="J99" s="15">
        <f t="shared" si="6"/>
        <v>42667</v>
      </c>
    </row>
    <row r="100" spans="2:12" x14ac:dyDescent="0.25">
      <c r="B100" s="124"/>
      <c r="C100" s="5"/>
      <c r="D100" s="6"/>
      <c r="E100" s="7"/>
      <c r="F100" s="8">
        <f t="shared" si="5"/>
        <v>0</v>
      </c>
      <c r="G100" s="23" t="s">
        <v>68</v>
      </c>
      <c r="H100" s="94">
        <v>1</v>
      </c>
      <c r="I100" s="18">
        <v>13333</v>
      </c>
      <c r="J100" s="15">
        <f t="shared" si="6"/>
        <v>13333</v>
      </c>
    </row>
    <row r="101" spans="2:12" x14ac:dyDescent="0.25">
      <c r="B101" s="124"/>
      <c r="C101" s="5"/>
      <c r="D101" s="6"/>
      <c r="E101" s="7"/>
      <c r="F101" s="8">
        <f t="shared" si="5"/>
        <v>0</v>
      </c>
      <c r="G101" s="23" t="s">
        <v>90</v>
      </c>
      <c r="H101" s="94">
        <v>1</v>
      </c>
      <c r="I101" s="18">
        <v>7333</v>
      </c>
      <c r="J101" s="15">
        <f t="shared" si="6"/>
        <v>7333</v>
      </c>
    </row>
    <row r="102" spans="2:12" x14ac:dyDescent="0.25">
      <c r="B102" s="124"/>
      <c r="C102" s="5"/>
      <c r="D102" s="6"/>
      <c r="E102" s="7"/>
      <c r="F102" s="8">
        <f t="shared" si="5"/>
        <v>0</v>
      </c>
      <c r="G102" s="23" t="s">
        <v>82</v>
      </c>
      <c r="H102" s="94">
        <v>1</v>
      </c>
      <c r="I102" s="18">
        <v>12000</v>
      </c>
      <c r="J102" s="15">
        <f t="shared" si="6"/>
        <v>12000</v>
      </c>
    </row>
    <row r="103" spans="2:12" x14ac:dyDescent="0.25">
      <c r="B103" s="124"/>
      <c r="C103" s="5"/>
      <c r="D103" s="6"/>
      <c r="E103" s="7"/>
      <c r="F103" s="8">
        <f t="shared" si="5"/>
        <v>0</v>
      </c>
      <c r="G103" s="23" t="s">
        <v>58</v>
      </c>
      <c r="H103" s="94">
        <v>2</v>
      </c>
      <c r="I103" s="18">
        <v>7333</v>
      </c>
      <c r="J103" s="15">
        <f t="shared" si="6"/>
        <v>14666</v>
      </c>
      <c r="L103">
        <v>29</v>
      </c>
    </row>
    <row r="104" spans="2:12" x14ac:dyDescent="0.25">
      <c r="B104" s="124"/>
      <c r="C104" s="5"/>
      <c r="D104" s="6"/>
      <c r="E104" s="7"/>
      <c r="F104" s="8">
        <f t="shared" si="5"/>
        <v>0</v>
      </c>
      <c r="G104" s="23" t="s">
        <v>91</v>
      </c>
      <c r="H104" s="94">
        <v>2</v>
      </c>
      <c r="I104" s="18">
        <v>18000</v>
      </c>
      <c r="J104" s="15">
        <f t="shared" si="6"/>
        <v>36000</v>
      </c>
    </row>
    <row r="105" spans="2:12" x14ac:dyDescent="0.25">
      <c r="B105" s="124"/>
      <c r="C105" s="5"/>
      <c r="D105" s="6"/>
      <c r="E105" s="7"/>
      <c r="F105" s="8"/>
      <c r="G105" s="23" t="s">
        <v>89</v>
      </c>
      <c r="H105" s="94">
        <v>1</v>
      </c>
      <c r="I105" s="18">
        <v>70000</v>
      </c>
      <c r="J105" s="15">
        <f t="shared" si="6"/>
        <v>70000</v>
      </c>
    </row>
    <row r="106" spans="2:12" x14ac:dyDescent="0.25">
      <c r="B106" s="124"/>
      <c r="C106" s="5"/>
      <c r="D106" s="6"/>
      <c r="E106" s="7"/>
      <c r="F106" s="8"/>
      <c r="G106" s="11" t="s">
        <v>83</v>
      </c>
      <c r="H106" s="12">
        <v>1</v>
      </c>
      <c r="I106" s="18">
        <v>70000</v>
      </c>
      <c r="J106" s="15">
        <f t="shared" si="6"/>
        <v>70000</v>
      </c>
    </row>
    <row r="107" spans="2:12" x14ac:dyDescent="0.25">
      <c r="B107" s="124"/>
      <c r="C107" s="5"/>
      <c r="D107" s="6"/>
      <c r="E107" s="7"/>
      <c r="F107" s="8"/>
      <c r="G107" s="11" t="s">
        <v>84</v>
      </c>
      <c r="H107" s="12">
        <v>1</v>
      </c>
      <c r="I107" s="18">
        <v>12000</v>
      </c>
      <c r="J107" s="15">
        <f t="shared" si="6"/>
        <v>12000</v>
      </c>
    </row>
    <row r="108" spans="2:12" x14ac:dyDescent="0.25">
      <c r="B108" s="124"/>
      <c r="C108" s="5" t="s">
        <v>8</v>
      </c>
      <c r="D108" s="14">
        <v>5</v>
      </c>
      <c r="E108" s="18">
        <v>5000</v>
      </c>
      <c r="F108" s="8"/>
      <c r="G108" s="23" t="s">
        <v>59</v>
      </c>
      <c r="H108" s="14">
        <v>2</v>
      </c>
      <c r="I108" s="18">
        <v>16000</v>
      </c>
      <c r="J108" s="15">
        <f t="shared" si="6"/>
        <v>32000</v>
      </c>
    </row>
    <row r="109" spans="2:12" x14ac:dyDescent="0.25">
      <c r="B109" s="124"/>
      <c r="C109" s="5"/>
      <c r="D109" s="6"/>
      <c r="E109" s="7"/>
      <c r="F109" s="8"/>
      <c r="G109" s="23" t="s">
        <v>60</v>
      </c>
      <c r="H109" s="14">
        <v>1</v>
      </c>
      <c r="I109" s="18">
        <v>40000</v>
      </c>
      <c r="J109" s="15">
        <f t="shared" si="6"/>
        <v>40000</v>
      </c>
    </row>
    <row r="110" spans="2:12" x14ac:dyDescent="0.25">
      <c r="B110" s="124"/>
      <c r="C110" s="11"/>
      <c r="D110" s="11"/>
      <c r="E110" s="11"/>
      <c r="F110" s="8"/>
      <c r="G110" s="11" t="s">
        <v>61</v>
      </c>
      <c r="H110" s="6">
        <v>3</v>
      </c>
      <c r="I110" s="18">
        <v>42000</v>
      </c>
      <c r="J110" s="15">
        <f t="shared" si="6"/>
        <v>126000</v>
      </c>
    </row>
    <row r="111" spans="2:12" x14ac:dyDescent="0.25">
      <c r="B111" s="24"/>
      <c r="C111" s="11"/>
      <c r="D111" s="11"/>
      <c r="E111" s="11"/>
      <c r="F111" s="8"/>
      <c r="G111" s="11" t="s">
        <v>62</v>
      </c>
      <c r="H111" s="6">
        <v>1</v>
      </c>
      <c r="I111" s="18">
        <v>40000</v>
      </c>
      <c r="J111" s="15">
        <f t="shared" si="6"/>
        <v>40000</v>
      </c>
    </row>
    <row r="112" spans="2:12" x14ac:dyDescent="0.25">
      <c r="B112" s="24"/>
      <c r="C112" s="11"/>
      <c r="D112" s="11"/>
      <c r="E112" s="11"/>
      <c r="F112" s="8"/>
      <c r="G112" s="11" t="s">
        <v>87</v>
      </c>
      <c r="H112" s="6">
        <v>1</v>
      </c>
      <c r="I112" s="18">
        <v>80000</v>
      </c>
      <c r="J112" s="15">
        <f t="shared" si="6"/>
        <v>80000</v>
      </c>
    </row>
    <row r="113" spans="2:10" x14ac:dyDescent="0.25">
      <c r="B113" s="24"/>
      <c r="C113" s="11"/>
      <c r="D113" s="11"/>
      <c r="E113" s="11"/>
      <c r="F113" s="8"/>
      <c r="G113" s="11" t="s">
        <v>63</v>
      </c>
      <c r="H113" s="6">
        <v>1</v>
      </c>
      <c r="I113" s="18">
        <v>70000</v>
      </c>
      <c r="J113" s="15">
        <f t="shared" si="6"/>
        <v>70000</v>
      </c>
    </row>
    <row r="114" spans="2:10" x14ac:dyDescent="0.25">
      <c r="B114" s="24"/>
      <c r="C114" s="74"/>
      <c r="D114" s="74"/>
      <c r="E114" s="74"/>
      <c r="F114" s="8"/>
      <c r="G114" s="11" t="s">
        <v>338</v>
      </c>
      <c r="H114" s="6">
        <v>2</v>
      </c>
      <c r="I114" s="18">
        <v>40000</v>
      </c>
      <c r="J114" s="15">
        <f t="shared" si="6"/>
        <v>80000</v>
      </c>
    </row>
    <row r="115" spans="2:10" x14ac:dyDescent="0.25">
      <c r="B115" s="24"/>
      <c r="C115" s="74"/>
      <c r="D115" s="74"/>
      <c r="E115" s="74"/>
      <c r="F115" s="8"/>
      <c r="G115" s="11" t="s">
        <v>85</v>
      </c>
      <c r="H115" s="6">
        <v>2</v>
      </c>
      <c r="I115" s="18">
        <v>50000</v>
      </c>
      <c r="J115" s="15">
        <f t="shared" si="6"/>
        <v>100000</v>
      </c>
    </row>
    <row r="116" spans="2:10" x14ac:dyDescent="0.25">
      <c r="B116" s="24"/>
      <c r="C116" s="74"/>
      <c r="D116" s="74"/>
      <c r="E116" s="74"/>
      <c r="F116" s="8"/>
      <c r="G116" s="11" t="s">
        <v>339</v>
      </c>
      <c r="H116" s="6"/>
      <c r="I116" s="18"/>
      <c r="J116" s="15"/>
    </row>
    <row r="117" spans="2:10" x14ac:dyDescent="0.25">
      <c r="B117" s="113" t="s">
        <v>12</v>
      </c>
      <c r="C117" s="113"/>
      <c r="D117" s="113"/>
      <c r="E117" s="113"/>
      <c r="F117" s="114">
        <f>SUM(F82:F110)</f>
        <v>1160000</v>
      </c>
      <c r="G117" s="115" t="s">
        <v>12</v>
      </c>
      <c r="H117" s="115"/>
      <c r="I117" s="115"/>
      <c r="J117" s="116">
        <f>SUM(J82:J116)</f>
        <v>1973999</v>
      </c>
    </row>
    <row r="118" spans="2:10" ht="15.75" thickBot="1" x14ac:dyDescent="0.3">
      <c r="B118" s="113"/>
      <c r="C118" s="113"/>
      <c r="D118" s="113"/>
      <c r="E118" s="113"/>
      <c r="F118" s="114"/>
      <c r="G118" s="115"/>
      <c r="H118" s="115"/>
      <c r="I118" s="115"/>
      <c r="J118" s="116"/>
    </row>
    <row r="119" spans="2:10" x14ac:dyDescent="0.25">
      <c r="B119" s="121" t="s">
        <v>443</v>
      </c>
      <c r="C119" s="121"/>
      <c r="D119" s="121"/>
      <c r="E119" s="121"/>
      <c r="F119" s="121"/>
      <c r="G119" s="121"/>
      <c r="H119" s="121"/>
      <c r="I119" s="121"/>
      <c r="J119" s="121"/>
    </row>
    <row r="120" spans="2:10" x14ac:dyDescent="0.25">
      <c r="B120" s="122" t="s">
        <v>0</v>
      </c>
      <c r="C120" s="123" t="s">
        <v>1</v>
      </c>
      <c r="D120" s="123"/>
      <c r="E120" s="123"/>
      <c r="F120" s="123"/>
      <c r="G120" s="112" t="s">
        <v>2</v>
      </c>
      <c r="H120" s="112"/>
      <c r="I120" s="112"/>
      <c r="J120" s="112"/>
    </row>
    <row r="121" spans="2:10" x14ac:dyDescent="0.25">
      <c r="B121" s="122"/>
      <c r="C121" s="2" t="s">
        <v>3</v>
      </c>
      <c r="D121" s="3" t="s">
        <v>4</v>
      </c>
      <c r="E121" s="3" t="s">
        <v>5</v>
      </c>
      <c r="F121" s="3" t="s">
        <v>6</v>
      </c>
      <c r="G121" s="2" t="s">
        <v>3</v>
      </c>
      <c r="H121" s="3" t="s">
        <v>4</v>
      </c>
      <c r="I121" s="3" t="s">
        <v>5</v>
      </c>
      <c r="J121" s="4" t="s">
        <v>6</v>
      </c>
    </row>
    <row r="122" spans="2:10" x14ac:dyDescent="0.25">
      <c r="B122" s="2"/>
      <c r="C122" s="100" t="s">
        <v>75</v>
      </c>
      <c r="D122" s="6">
        <v>80</v>
      </c>
      <c r="E122" s="7">
        <v>30000</v>
      </c>
      <c r="F122" s="8">
        <f>D122*E122</f>
        <v>2400000</v>
      </c>
      <c r="G122" s="96" t="s">
        <v>444</v>
      </c>
      <c r="H122" s="72">
        <v>72</v>
      </c>
      <c r="I122" s="18">
        <v>1500</v>
      </c>
      <c r="J122" s="15">
        <f t="shared" ref="J122:J124" si="8">H122*I122</f>
        <v>108000</v>
      </c>
    </row>
    <row r="123" spans="2:10" x14ac:dyDescent="0.25">
      <c r="B123" s="20"/>
      <c r="C123" s="5" t="s">
        <v>8</v>
      </c>
      <c r="D123" s="6">
        <v>10</v>
      </c>
      <c r="E123" s="7">
        <v>90000</v>
      </c>
      <c r="F123" s="8">
        <f>D123*E123</f>
        <v>900000</v>
      </c>
      <c r="G123" s="97" t="s">
        <v>36</v>
      </c>
      <c r="H123" s="72">
        <v>72</v>
      </c>
      <c r="I123" s="18">
        <v>1500</v>
      </c>
      <c r="J123" s="15">
        <f t="shared" si="8"/>
        <v>108000</v>
      </c>
    </row>
    <row r="124" spans="2:10" x14ac:dyDescent="0.25">
      <c r="B124" s="20"/>
      <c r="C124" s="5"/>
      <c r="D124" s="6"/>
      <c r="E124" s="7"/>
      <c r="F124" s="8">
        <f t="shared" ref="F124:F126" si="9">D124*E124</f>
        <v>0</v>
      </c>
      <c r="G124" s="97" t="s">
        <v>411</v>
      </c>
      <c r="H124" s="72">
        <v>72</v>
      </c>
      <c r="I124" s="18">
        <v>1500</v>
      </c>
      <c r="J124" s="15">
        <f t="shared" si="8"/>
        <v>108000</v>
      </c>
    </row>
    <row r="125" spans="2:10" x14ac:dyDescent="0.25">
      <c r="B125" s="20"/>
      <c r="C125" s="5" t="s">
        <v>337</v>
      </c>
      <c r="D125" s="6">
        <v>200</v>
      </c>
      <c r="E125" s="7">
        <v>1500</v>
      </c>
      <c r="F125" s="8">
        <f t="shared" si="9"/>
        <v>300000</v>
      </c>
      <c r="G125" s="17" t="s">
        <v>331</v>
      </c>
      <c r="H125" s="72">
        <v>72</v>
      </c>
      <c r="I125" s="18">
        <v>1500</v>
      </c>
      <c r="J125" s="15">
        <f>H125*I125</f>
        <v>108000</v>
      </c>
    </row>
    <row r="126" spans="2:10" x14ac:dyDescent="0.25">
      <c r="B126" s="20"/>
      <c r="C126" s="98"/>
      <c r="D126" s="6"/>
      <c r="E126" s="7"/>
      <c r="F126" s="8">
        <f t="shared" si="9"/>
        <v>0</v>
      </c>
      <c r="G126" s="17" t="s">
        <v>330</v>
      </c>
      <c r="H126" s="72">
        <v>72</v>
      </c>
      <c r="I126" s="18">
        <v>1500</v>
      </c>
      <c r="J126" s="15">
        <f>H126*I126</f>
        <v>108000</v>
      </c>
    </row>
    <row r="127" spans="2:10" x14ac:dyDescent="0.25">
      <c r="B127" s="20"/>
      <c r="C127" s="5"/>
      <c r="D127" s="6"/>
      <c r="E127" s="7"/>
      <c r="F127" s="8"/>
      <c r="G127" s="97" t="s">
        <v>420</v>
      </c>
      <c r="H127" s="72">
        <v>72</v>
      </c>
      <c r="I127" s="18">
        <v>1500</v>
      </c>
      <c r="J127" s="15">
        <f>H127*I127</f>
        <v>108000</v>
      </c>
    </row>
    <row r="128" spans="2:10" x14ac:dyDescent="0.25">
      <c r="B128" s="20"/>
      <c r="C128" s="5"/>
      <c r="D128" s="6"/>
      <c r="E128" s="7"/>
      <c r="F128" s="8"/>
      <c r="G128" s="17" t="s">
        <v>422</v>
      </c>
      <c r="H128" s="72">
        <v>72</v>
      </c>
      <c r="I128" s="18">
        <v>1500</v>
      </c>
      <c r="J128" s="15">
        <f t="shared" ref="J128:J129" si="10">H128*I128</f>
        <v>108000</v>
      </c>
    </row>
    <row r="129" spans="2:10" x14ac:dyDescent="0.25">
      <c r="B129" s="20"/>
      <c r="C129" s="5"/>
      <c r="D129" s="6"/>
      <c r="E129" s="7"/>
      <c r="F129" s="8"/>
      <c r="G129" s="17" t="s">
        <v>50</v>
      </c>
      <c r="H129" s="29">
        <v>72</v>
      </c>
      <c r="I129" s="18">
        <v>10000</v>
      </c>
      <c r="J129" s="15">
        <f t="shared" si="10"/>
        <v>720000</v>
      </c>
    </row>
    <row r="130" spans="2:10" x14ac:dyDescent="0.25">
      <c r="G130" s="101" t="s">
        <v>445</v>
      </c>
      <c r="H130" s="29">
        <v>72</v>
      </c>
    </row>
    <row r="131" spans="2:10" x14ac:dyDescent="0.25">
      <c r="B131" s="113" t="s">
        <v>12</v>
      </c>
      <c r="C131" s="113"/>
      <c r="D131" s="113"/>
      <c r="E131" s="113"/>
      <c r="F131" s="114">
        <f>SUM(F122:F129)</f>
        <v>3600000</v>
      </c>
      <c r="G131" s="115" t="s">
        <v>12</v>
      </c>
      <c r="H131" s="115"/>
      <c r="I131" s="115"/>
      <c r="J131" s="116">
        <f>SUM(J122:J130)</f>
        <v>1476000</v>
      </c>
    </row>
    <row r="132" spans="2:10" x14ac:dyDescent="0.25">
      <c r="B132" s="113"/>
      <c r="C132" s="113"/>
      <c r="D132" s="113"/>
      <c r="E132" s="113"/>
      <c r="F132" s="114"/>
      <c r="G132" s="115"/>
      <c r="H132" s="115"/>
      <c r="I132" s="115"/>
      <c r="J132" s="116"/>
    </row>
    <row r="133" spans="2:10" ht="15.75" thickBot="1" x14ac:dyDescent="0.3">
      <c r="B133" s="117" t="s">
        <v>64</v>
      </c>
      <c r="C133" s="117"/>
      <c r="D133" s="117"/>
      <c r="E133" s="117"/>
      <c r="F133" s="118">
        <f>SUM(F117+F77+F61+F21)</f>
        <v>19240000</v>
      </c>
      <c r="G133" s="119" t="s">
        <v>64</v>
      </c>
      <c r="H133" s="119"/>
      <c r="I133" s="119"/>
      <c r="J133" s="120">
        <f>SUM(J117+J77+J21+J61+J131)</f>
        <v>18000960</v>
      </c>
    </row>
    <row r="134" spans="2:10" ht="15.75" thickBot="1" x14ac:dyDescent="0.3">
      <c r="B134" s="117"/>
      <c r="C134" s="117"/>
      <c r="D134" s="117"/>
      <c r="E134" s="117"/>
      <c r="F134" s="118"/>
      <c r="G134" s="119"/>
      <c r="H134" s="119"/>
      <c r="I134" s="119"/>
      <c r="J134" s="120"/>
    </row>
  </sheetData>
  <mergeCells count="49">
    <mergeCell ref="B23:J23"/>
    <mergeCell ref="B1:J6"/>
    <mergeCell ref="B7:J7"/>
    <mergeCell ref="B8:J8"/>
    <mergeCell ref="B9:B10"/>
    <mergeCell ref="C9:F9"/>
    <mergeCell ref="G9:J9"/>
    <mergeCell ref="B11:B20"/>
    <mergeCell ref="B21:E22"/>
    <mergeCell ref="F21:F22"/>
    <mergeCell ref="G21:I22"/>
    <mergeCell ref="J21:J22"/>
    <mergeCell ref="B24:B25"/>
    <mergeCell ref="C24:F24"/>
    <mergeCell ref="G24:J24"/>
    <mergeCell ref="B26:B60"/>
    <mergeCell ref="B61:E62"/>
    <mergeCell ref="F61:F62"/>
    <mergeCell ref="G61:I62"/>
    <mergeCell ref="J61:J62"/>
    <mergeCell ref="B79:J79"/>
    <mergeCell ref="B80:B81"/>
    <mergeCell ref="C80:F80"/>
    <mergeCell ref="G80:J80"/>
    <mergeCell ref="B82:B110"/>
    <mergeCell ref="B63:J63"/>
    <mergeCell ref="B64:B65"/>
    <mergeCell ref="C64:F64"/>
    <mergeCell ref="G64:J64"/>
    <mergeCell ref="B77:E78"/>
    <mergeCell ref="F77:F78"/>
    <mergeCell ref="G77:I78"/>
    <mergeCell ref="J77:J78"/>
    <mergeCell ref="G117:I118"/>
    <mergeCell ref="B133:E134"/>
    <mergeCell ref="F133:F134"/>
    <mergeCell ref="G133:I134"/>
    <mergeCell ref="J133:J134"/>
    <mergeCell ref="B119:J119"/>
    <mergeCell ref="B120:B121"/>
    <mergeCell ref="C120:F120"/>
    <mergeCell ref="G120:J120"/>
    <mergeCell ref="B131:E132"/>
    <mergeCell ref="F131:F132"/>
    <mergeCell ref="G131:I132"/>
    <mergeCell ref="J131:J132"/>
    <mergeCell ref="J117:J118"/>
    <mergeCell ref="B117:E118"/>
    <mergeCell ref="F117:F11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A630-A253-4627-85E8-E94DB352F2E4}">
  <dimension ref="A1:O120"/>
  <sheetViews>
    <sheetView topLeftCell="A99" zoomScale="95" workbookViewId="0">
      <selection activeCell="M110" sqref="M110"/>
    </sheetView>
  </sheetViews>
  <sheetFormatPr baseColWidth="10" defaultColWidth="10.5703125" defaultRowHeight="15" x14ac:dyDescent="0.25"/>
  <cols>
    <col min="2" max="2" width="20.28515625" customWidth="1"/>
    <col min="3" max="3" width="27" customWidth="1"/>
    <col min="5" max="5" width="13.140625" customWidth="1"/>
    <col min="6" max="6" width="14.28515625" customWidth="1"/>
    <col min="7" max="7" width="42.7109375" bestFit="1" customWidth="1"/>
    <col min="9" max="9" width="12" customWidth="1"/>
    <col min="10" max="10" width="16.5703125" customWidth="1"/>
  </cols>
  <sheetData>
    <row r="1" spans="2:15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5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5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5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5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5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</row>
    <row r="7" spans="2:15" ht="15.75" thickBot="1" x14ac:dyDescent="0.3">
      <c r="B7" s="127" t="s">
        <v>455</v>
      </c>
      <c r="C7" s="127"/>
      <c r="D7" s="127"/>
      <c r="E7" s="127"/>
      <c r="F7" s="127"/>
      <c r="G7" s="127"/>
      <c r="H7" s="127"/>
      <c r="I7" s="127"/>
      <c r="J7" s="127"/>
    </row>
    <row r="8" spans="2:15" ht="22.5" customHeight="1" x14ac:dyDescent="0.25">
      <c r="B8" s="121" t="s">
        <v>447</v>
      </c>
      <c r="C8" s="121"/>
      <c r="D8" s="121"/>
      <c r="E8" s="121"/>
      <c r="F8" s="121"/>
      <c r="G8" s="121"/>
      <c r="H8" s="121"/>
      <c r="I8" s="121"/>
      <c r="J8" s="121"/>
    </row>
    <row r="9" spans="2:15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5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</row>
    <row r="11" spans="2:15" ht="30" x14ac:dyDescent="0.25">
      <c r="B11" s="124"/>
      <c r="C11" s="5" t="s">
        <v>75</v>
      </c>
      <c r="D11" s="26">
        <f>613+192</f>
        <v>805</v>
      </c>
      <c r="E11" s="7">
        <v>30000</v>
      </c>
      <c r="F11" s="8">
        <f>D11*E11</f>
        <v>24150000</v>
      </c>
      <c r="G11" s="9" t="s">
        <v>7</v>
      </c>
      <c r="H11" s="19">
        <v>14</v>
      </c>
      <c r="I11" s="32">
        <v>270000</v>
      </c>
      <c r="J11" s="10">
        <f t="shared" ref="J11:J19" si="0">H11*I11</f>
        <v>3780000</v>
      </c>
      <c r="K11">
        <f>L30</f>
        <v>4294</v>
      </c>
      <c r="L11" t="s">
        <v>442</v>
      </c>
      <c r="O11">
        <f>K11/7</f>
        <v>613.42857142857144</v>
      </c>
    </row>
    <row r="12" spans="2:15" x14ac:dyDescent="0.25">
      <c r="B12" s="124"/>
      <c r="C12" s="11"/>
      <c r="D12" s="25"/>
      <c r="E12" s="13"/>
      <c r="F12" s="8"/>
      <c r="G12" s="9" t="s">
        <v>9</v>
      </c>
      <c r="H12" s="19">
        <v>3</v>
      </c>
      <c r="I12" s="27">
        <v>35000</v>
      </c>
      <c r="J12" s="15">
        <f t="shared" si="0"/>
        <v>105000</v>
      </c>
    </row>
    <row r="13" spans="2:15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19">
        <v>40</v>
      </c>
      <c r="I13" s="27">
        <v>5000</v>
      </c>
      <c r="J13" s="15">
        <f t="shared" si="0"/>
        <v>200000</v>
      </c>
      <c r="N13">
        <f>K11*2</f>
        <v>8588</v>
      </c>
    </row>
    <row r="14" spans="2:15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19">
        <v>2</v>
      </c>
      <c r="I14" s="27">
        <v>60000</v>
      </c>
      <c r="J14" s="15">
        <f t="shared" si="0"/>
        <v>120000</v>
      </c>
      <c r="L14">
        <v>500</v>
      </c>
    </row>
    <row r="15" spans="2:15" x14ac:dyDescent="0.25">
      <c r="B15" s="124"/>
      <c r="C15" s="5"/>
      <c r="D15" s="6"/>
      <c r="E15" s="7"/>
      <c r="F15" s="8">
        <f t="shared" ref="F15:F19" si="1">D15*E15</f>
        <v>0</v>
      </c>
      <c r="G15" s="16" t="s">
        <v>65</v>
      </c>
      <c r="H15" s="19">
        <v>13</v>
      </c>
      <c r="I15" s="27">
        <v>38000</v>
      </c>
      <c r="J15" s="15">
        <f t="shared" si="0"/>
        <v>494000</v>
      </c>
      <c r="K15" s="33"/>
      <c r="L15">
        <v>556</v>
      </c>
    </row>
    <row r="16" spans="2:15" ht="16.5" x14ac:dyDescent="0.3">
      <c r="B16" s="124"/>
      <c r="C16" s="42" t="s">
        <v>242</v>
      </c>
      <c r="D16" s="6">
        <v>1</v>
      </c>
      <c r="E16" s="44">
        <v>586300</v>
      </c>
      <c r="F16" s="8">
        <f t="shared" si="1"/>
        <v>586300</v>
      </c>
      <c r="G16" s="17" t="s">
        <v>66</v>
      </c>
      <c r="H16" s="19">
        <v>13</v>
      </c>
      <c r="I16" s="28">
        <v>6000</v>
      </c>
      <c r="J16" s="15">
        <f t="shared" si="0"/>
        <v>78000</v>
      </c>
      <c r="L16">
        <v>560</v>
      </c>
    </row>
    <row r="17" spans="2:14" ht="18.75" customHeight="1" x14ac:dyDescent="0.3">
      <c r="B17" s="124"/>
      <c r="C17" s="5"/>
      <c r="D17" s="6"/>
      <c r="E17" s="7"/>
      <c r="F17" s="8">
        <f t="shared" si="1"/>
        <v>0</v>
      </c>
      <c r="G17" s="17" t="s">
        <v>127</v>
      </c>
      <c r="H17" s="14">
        <v>1</v>
      </c>
      <c r="I17" s="44">
        <v>1250000</v>
      </c>
      <c r="J17" s="15">
        <f t="shared" si="0"/>
        <v>1250000</v>
      </c>
      <c r="L17">
        <v>383</v>
      </c>
    </row>
    <row r="18" spans="2:14" ht="16.5" x14ac:dyDescent="0.3">
      <c r="B18" s="124"/>
      <c r="C18" s="5"/>
      <c r="D18" s="6"/>
      <c r="E18" s="7"/>
      <c r="F18" s="8">
        <f t="shared" si="1"/>
        <v>0</v>
      </c>
      <c r="G18" s="17" t="s">
        <v>265</v>
      </c>
      <c r="H18" s="19">
        <v>1</v>
      </c>
      <c r="I18" s="44">
        <v>150000</v>
      </c>
      <c r="J18" s="15">
        <f t="shared" si="0"/>
        <v>150000</v>
      </c>
      <c r="L18">
        <v>90</v>
      </c>
      <c r="N18">
        <f>2300/12</f>
        <v>191.66666666666666</v>
      </c>
    </row>
    <row r="19" spans="2:14" ht="15.75" x14ac:dyDescent="0.25">
      <c r="B19" s="124"/>
      <c r="C19" s="5"/>
      <c r="D19" s="6"/>
      <c r="E19" s="7"/>
      <c r="F19" s="8">
        <f t="shared" si="1"/>
        <v>0</v>
      </c>
      <c r="G19" s="102" t="s">
        <v>189</v>
      </c>
      <c r="H19" s="14">
        <v>1</v>
      </c>
      <c r="I19" s="28">
        <v>450000</v>
      </c>
      <c r="J19" s="15">
        <f t="shared" si="0"/>
        <v>450000</v>
      </c>
      <c r="K19" s="33"/>
      <c r="L19">
        <v>110</v>
      </c>
    </row>
    <row r="20" spans="2:14" x14ac:dyDescent="0.25">
      <c r="B20" s="113" t="s">
        <v>12</v>
      </c>
      <c r="C20" s="113"/>
      <c r="D20" s="113"/>
      <c r="E20" s="113"/>
      <c r="F20" s="114">
        <f>SUM(F11:F19)</f>
        <v>24736300</v>
      </c>
      <c r="G20" s="115" t="s">
        <v>12</v>
      </c>
      <c r="H20" s="115"/>
      <c r="I20" s="115"/>
      <c r="J20" s="116">
        <f>SUM(J11:J19)</f>
        <v>6627000</v>
      </c>
      <c r="L20">
        <v>147</v>
      </c>
    </row>
    <row r="21" spans="2:14" ht="15.75" thickBot="1" x14ac:dyDescent="0.3">
      <c r="B21" s="113"/>
      <c r="C21" s="113"/>
      <c r="D21" s="113"/>
      <c r="E21" s="113"/>
      <c r="F21" s="114"/>
      <c r="G21" s="115"/>
      <c r="H21" s="115"/>
      <c r="I21" s="115"/>
      <c r="J21" s="116"/>
      <c r="L21">
        <v>130</v>
      </c>
    </row>
    <row r="22" spans="2:14" ht="15" customHeight="1" x14ac:dyDescent="0.25">
      <c r="B22" s="121" t="s">
        <v>449</v>
      </c>
      <c r="C22" s="121"/>
      <c r="D22" s="121"/>
      <c r="E22" s="121"/>
      <c r="F22" s="121"/>
      <c r="G22" s="121"/>
      <c r="H22" s="121"/>
      <c r="I22" s="121"/>
      <c r="J22" s="121"/>
      <c r="L22">
        <v>145</v>
      </c>
    </row>
    <row r="23" spans="2:14" x14ac:dyDescent="0.25">
      <c r="B23" s="122" t="s">
        <v>0</v>
      </c>
      <c r="C23" s="123" t="s">
        <v>1</v>
      </c>
      <c r="D23" s="123"/>
      <c r="E23" s="123"/>
      <c r="F23" s="123"/>
      <c r="G23" s="112" t="s">
        <v>2</v>
      </c>
      <c r="H23" s="112"/>
      <c r="I23" s="112"/>
      <c r="J23" s="112"/>
      <c r="L23">
        <v>158</v>
      </c>
    </row>
    <row r="24" spans="2:14" x14ac:dyDescent="0.25">
      <c r="B24" s="122"/>
      <c r="C24" s="2" t="s">
        <v>3</v>
      </c>
      <c r="D24" s="3" t="s">
        <v>4</v>
      </c>
      <c r="E24" s="3" t="s">
        <v>5</v>
      </c>
      <c r="F24" s="3" t="s">
        <v>6</v>
      </c>
      <c r="G24" s="2" t="s">
        <v>3</v>
      </c>
      <c r="H24" s="3" t="s">
        <v>4</v>
      </c>
      <c r="I24" s="3" t="s">
        <v>5</v>
      </c>
      <c r="J24" s="4" t="s">
        <v>6</v>
      </c>
      <c r="L24">
        <v>170</v>
      </c>
    </row>
    <row r="25" spans="2:14" ht="30" customHeight="1" x14ac:dyDescent="0.25">
      <c r="B25" s="125" t="s">
        <v>13</v>
      </c>
      <c r="C25" s="5" t="s">
        <v>14</v>
      </c>
      <c r="D25" s="6">
        <v>1</v>
      </c>
      <c r="E25" s="7">
        <v>2000000</v>
      </c>
      <c r="F25" s="8">
        <f t="shared" ref="F25:F48" si="2">D25*E25</f>
        <v>2000000</v>
      </c>
      <c r="G25" s="9" t="s">
        <v>15</v>
      </c>
      <c r="H25" s="93">
        <v>1</v>
      </c>
      <c r="I25" s="7">
        <v>1088000</v>
      </c>
      <c r="J25" s="15">
        <f t="shared" ref="J25:J59" si="3">H25*I25</f>
        <v>1088000</v>
      </c>
      <c r="L25">
        <v>180</v>
      </c>
    </row>
    <row r="26" spans="2:14" x14ac:dyDescent="0.25">
      <c r="B26" s="125"/>
      <c r="C26" s="11" t="s">
        <v>8</v>
      </c>
      <c r="D26" s="12">
        <v>15</v>
      </c>
      <c r="E26" s="13">
        <v>90000</v>
      </c>
      <c r="F26" s="8">
        <f t="shared" si="2"/>
        <v>1350000</v>
      </c>
      <c r="G26" s="17" t="s">
        <v>16</v>
      </c>
      <c r="H26" s="14">
        <v>1</v>
      </c>
      <c r="I26" s="18">
        <v>35000</v>
      </c>
      <c r="J26" s="15">
        <f t="shared" si="3"/>
        <v>35000</v>
      </c>
      <c r="L26">
        <v>170</v>
      </c>
    </row>
    <row r="27" spans="2:14" x14ac:dyDescent="0.25">
      <c r="B27" s="125"/>
      <c r="C27" s="11"/>
      <c r="D27" s="12"/>
      <c r="E27" s="13"/>
      <c r="F27" s="8"/>
      <c r="G27" s="17" t="s">
        <v>86</v>
      </c>
      <c r="H27" s="14">
        <v>2</v>
      </c>
      <c r="I27" s="18">
        <v>45000</v>
      </c>
      <c r="J27" s="15">
        <f t="shared" si="3"/>
        <v>90000</v>
      </c>
      <c r="L27">
        <v>160</v>
      </c>
    </row>
    <row r="28" spans="2:14" x14ac:dyDescent="0.25">
      <c r="B28" s="125"/>
      <c r="C28" s="5" t="s">
        <v>421</v>
      </c>
      <c r="D28" s="6">
        <v>10</v>
      </c>
      <c r="E28" s="7">
        <v>3000</v>
      </c>
      <c r="F28" s="8">
        <f t="shared" si="2"/>
        <v>30000</v>
      </c>
      <c r="G28" s="17" t="s">
        <v>17</v>
      </c>
      <c r="H28" s="14">
        <v>1</v>
      </c>
      <c r="I28" s="18">
        <v>1333</v>
      </c>
      <c r="J28" s="15">
        <f t="shared" si="3"/>
        <v>1333</v>
      </c>
      <c r="L28">
        <v>555</v>
      </c>
    </row>
    <row r="29" spans="2:14" ht="15" customHeight="1" x14ac:dyDescent="0.25">
      <c r="B29" s="125"/>
      <c r="C29" s="11" t="s">
        <v>340</v>
      </c>
      <c r="D29" s="11">
        <v>1</v>
      </c>
      <c r="E29" s="8">
        <v>300000</v>
      </c>
      <c r="F29" s="8">
        <f t="shared" si="2"/>
        <v>300000</v>
      </c>
      <c r="G29" s="17" t="s">
        <v>18</v>
      </c>
      <c r="H29" s="14">
        <v>2</v>
      </c>
      <c r="I29" s="18">
        <v>32000</v>
      </c>
      <c r="J29" s="15">
        <f t="shared" si="3"/>
        <v>64000</v>
      </c>
      <c r="L29">
        <v>280</v>
      </c>
    </row>
    <row r="30" spans="2:14" ht="15" customHeight="1" x14ac:dyDescent="0.25">
      <c r="B30" s="125"/>
      <c r="C30" s="11"/>
      <c r="D30" s="11"/>
      <c r="E30" s="11"/>
      <c r="F30" s="8"/>
      <c r="G30" s="17" t="s">
        <v>325</v>
      </c>
      <c r="H30" s="14">
        <v>1</v>
      </c>
      <c r="I30" s="18">
        <v>40000</v>
      </c>
      <c r="J30" s="15">
        <f t="shared" si="3"/>
        <v>40000</v>
      </c>
      <c r="L30">
        <f>SUM(L14:L29)</f>
        <v>4294</v>
      </c>
    </row>
    <row r="31" spans="2:14" x14ac:dyDescent="0.25">
      <c r="B31" s="125"/>
      <c r="C31" s="5"/>
      <c r="D31" s="6"/>
      <c r="E31" s="7"/>
      <c r="F31" s="8">
        <f t="shared" si="2"/>
        <v>0</v>
      </c>
      <c r="G31" s="17" t="s">
        <v>19</v>
      </c>
      <c r="H31" s="14">
        <v>1</v>
      </c>
      <c r="I31" s="18">
        <v>11000</v>
      </c>
      <c r="J31" s="15">
        <f t="shared" si="3"/>
        <v>11000</v>
      </c>
    </row>
    <row r="32" spans="2:14" x14ac:dyDescent="0.25">
      <c r="B32" s="125"/>
      <c r="C32" s="5"/>
      <c r="D32" s="6"/>
      <c r="E32" s="7"/>
      <c r="F32" s="8"/>
      <c r="G32" s="17" t="s">
        <v>88</v>
      </c>
      <c r="H32" s="14">
        <v>3</v>
      </c>
      <c r="I32" s="18">
        <v>13000</v>
      </c>
      <c r="J32" s="15">
        <f t="shared" si="3"/>
        <v>39000</v>
      </c>
    </row>
    <row r="33" spans="2:12" x14ac:dyDescent="0.25">
      <c r="B33" s="125"/>
      <c r="C33" s="5"/>
      <c r="D33" s="6"/>
      <c r="E33" s="7"/>
      <c r="F33" s="8"/>
      <c r="G33" s="17" t="s">
        <v>403</v>
      </c>
      <c r="H33" s="14">
        <v>3</v>
      </c>
      <c r="I33" s="18">
        <v>5900</v>
      </c>
      <c r="J33" s="15">
        <f t="shared" si="3"/>
        <v>17700</v>
      </c>
    </row>
    <row r="34" spans="2:12" x14ac:dyDescent="0.25">
      <c r="B34" s="125"/>
      <c r="C34" s="5"/>
      <c r="D34" s="6"/>
      <c r="E34" s="7"/>
      <c r="F34" s="8">
        <f t="shared" si="2"/>
        <v>0</v>
      </c>
      <c r="G34" s="17" t="s">
        <v>20</v>
      </c>
      <c r="H34" s="14">
        <v>2</v>
      </c>
      <c r="I34" s="18">
        <v>2000</v>
      </c>
      <c r="J34" s="15">
        <f t="shared" si="3"/>
        <v>4000</v>
      </c>
    </row>
    <row r="35" spans="2:12" x14ac:dyDescent="0.25">
      <c r="B35" s="125"/>
      <c r="C35" s="5"/>
      <c r="D35" s="6"/>
      <c r="E35" s="7"/>
      <c r="F35" s="8"/>
      <c r="G35" s="17" t="s">
        <v>79</v>
      </c>
      <c r="H35" s="14">
        <v>5</v>
      </c>
      <c r="I35" s="18">
        <v>5000</v>
      </c>
      <c r="J35" s="15">
        <f t="shared" si="3"/>
        <v>25000</v>
      </c>
    </row>
    <row r="36" spans="2:12" x14ac:dyDescent="0.25">
      <c r="B36" s="125"/>
      <c r="C36" s="5"/>
      <c r="D36" s="6"/>
      <c r="E36" s="7"/>
      <c r="F36" s="8">
        <f t="shared" si="2"/>
        <v>0</v>
      </c>
      <c r="G36" s="17" t="s">
        <v>21</v>
      </c>
      <c r="H36" s="14">
        <v>2</v>
      </c>
      <c r="I36" s="18">
        <v>1333</v>
      </c>
      <c r="J36" s="15">
        <f t="shared" si="3"/>
        <v>2666</v>
      </c>
    </row>
    <row r="37" spans="2:12" x14ac:dyDescent="0.25">
      <c r="B37" s="125"/>
      <c r="C37" s="5"/>
      <c r="D37" s="6"/>
      <c r="E37" s="7"/>
      <c r="F37" s="8">
        <f t="shared" si="2"/>
        <v>0</v>
      </c>
      <c r="G37" s="17" t="s">
        <v>22</v>
      </c>
      <c r="H37" s="19">
        <v>15</v>
      </c>
      <c r="I37" s="18">
        <v>4000</v>
      </c>
      <c r="J37" s="15">
        <f t="shared" si="3"/>
        <v>60000</v>
      </c>
    </row>
    <row r="38" spans="2:12" x14ac:dyDescent="0.25">
      <c r="B38" s="125"/>
      <c r="C38" s="5"/>
      <c r="D38" s="6"/>
      <c r="E38" s="7"/>
      <c r="F38" s="8"/>
      <c r="G38" s="17" t="s">
        <v>69</v>
      </c>
      <c r="H38" s="19">
        <v>8</v>
      </c>
      <c r="I38" s="18">
        <v>3000</v>
      </c>
      <c r="J38" s="15">
        <f t="shared" si="3"/>
        <v>24000</v>
      </c>
    </row>
    <row r="39" spans="2:12" x14ac:dyDescent="0.25">
      <c r="B39" s="125"/>
      <c r="C39" s="5"/>
      <c r="D39" s="6"/>
      <c r="E39" s="7"/>
      <c r="F39" s="8"/>
      <c r="G39" s="17" t="s">
        <v>23</v>
      </c>
      <c r="H39" s="14">
        <v>6</v>
      </c>
      <c r="I39" s="18">
        <v>2000</v>
      </c>
      <c r="J39" s="15">
        <f t="shared" si="3"/>
        <v>12000</v>
      </c>
    </row>
    <row r="40" spans="2:12" ht="15.75" x14ac:dyDescent="0.25">
      <c r="B40" s="125"/>
      <c r="C40" s="5"/>
      <c r="D40" s="6"/>
      <c r="E40" s="7"/>
      <c r="F40" s="8"/>
      <c r="G40" s="92" t="s">
        <v>358</v>
      </c>
      <c r="H40" s="14">
        <v>3</v>
      </c>
      <c r="I40" s="18">
        <v>3000</v>
      </c>
      <c r="J40" s="15">
        <f t="shared" si="3"/>
        <v>9000</v>
      </c>
    </row>
    <row r="41" spans="2:12" ht="30" x14ac:dyDescent="0.25">
      <c r="B41" s="125"/>
      <c r="C41" s="5"/>
      <c r="D41" s="6"/>
      <c r="E41" s="7"/>
      <c r="F41" s="8">
        <f t="shared" si="2"/>
        <v>0</v>
      </c>
      <c r="G41" s="17" t="s">
        <v>24</v>
      </c>
      <c r="H41" s="19">
        <v>10</v>
      </c>
      <c r="I41" s="30">
        <v>146667</v>
      </c>
      <c r="J41" s="10">
        <f t="shared" si="3"/>
        <v>1466670</v>
      </c>
    </row>
    <row r="42" spans="2:12" ht="30" x14ac:dyDescent="0.25">
      <c r="B42" s="125"/>
      <c r="C42" s="5"/>
      <c r="D42" s="6"/>
      <c r="E42" s="7"/>
      <c r="F42" s="8"/>
      <c r="G42" s="17" t="s">
        <v>70</v>
      </c>
      <c r="H42" s="69">
        <v>3</v>
      </c>
      <c r="I42" s="30">
        <v>200000</v>
      </c>
      <c r="J42" s="10">
        <f t="shared" si="3"/>
        <v>600000</v>
      </c>
    </row>
    <row r="43" spans="2:12" x14ac:dyDescent="0.25">
      <c r="B43" s="125"/>
      <c r="C43" s="5"/>
      <c r="D43" s="6"/>
      <c r="E43" s="7"/>
      <c r="F43" s="8">
        <f t="shared" si="2"/>
        <v>0</v>
      </c>
      <c r="G43" s="17" t="s">
        <v>25</v>
      </c>
      <c r="H43" s="14">
        <v>5</v>
      </c>
      <c r="I43" s="18">
        <v>2000</v>
      </c>
      <c r="J43" s="15">
        <f t="shared" si="3"/>
        <v>10000</v>
      </c>
    </row>
    <row r="44" spans="2:12" x14ac:dyDescent="0.25">
      <c r="B44" s="125"/>
      <c r="C44" s="5"/>
      <c r="D44" s="6"/>
      <c r="E44" s="7"/>
      <c r="F44" s="8">
        <f t="shared" si="2"/>
        <v>0</v>
      </c>
      <c r="G44" s="17" t="s">
        <v>26</v>
      </c>
      <c r="H44" s="19">
        <v>4</v>
      </c>
      <c r="I44" s="18">
        <v>1333</v>
      </c>
      <c r="J44" s="15">
        <f t="shared" si="3"/>
        <v>5332</v>
      </c>
    </row>
    <row r="45" spans="2:12" x14ac:dyDescent="0.25">
      <c r="B45" s="125"/>
      <c r="C45" s="5"/>
      <c r="D45" s="6"/>
      <c r="E45" s="7"/>
      <c r="F45" s="8">
        <f t="shared" si="2"/>
        <v>0</v>
      </c>
      <c r="G45" s="17" t="s">
        <v>27</v>
      </c>
      <c r="H45" s="19">
        <v>16</v>
      </c>
      <c r="I45" s="18">
        <v>38000</v>
      </c>
      <c r="J45" s="15">
        <f t="shared" si="3"/>
        <v>608000</v>
      </c>
    </row>
    <row r="46" spans="2:12" x14ac:dyDescent="0.25">
      <c r="B46" s="125"/>
      <c r="C46" s="5"/>
      <c r="D46" s="6"/>
      <c r="E46" s="7"/>
      <c r="F46" s="8">
        <f t="shared" si="2"/>
        <v>0</v>
      </c>
      <c r="G46" s="17" t="s">
        <v>28</v>
      </c>
      <c r="H46" s="19">
        <v>5</v>
      </c>
      <c r="I46" s="18">
        <v>2700</v>
      </c>
      <c r="J46" s="15">
        <f t="shared" si="3"/>
        <v>13500</v>
      </c>
    </row>
    <row r="47" spans="2:12" x14ac:dyDescent="0.25">
      <c r="B47" s="125"/>
      <c r="C47" s="5"/>
      <c r="D47" s="6"/>
      <c r="E47" s="7"/>
      <c r="F47" s="8"/>
      <c r="G47" s="17" t="s">
        <v>402</v>
      </c>
      <c r="H47" s="19">
        <v>2</v>
      </c>
      <c r="I47" s="18">
        <v>2700</v>
      </c>
      <c r="J47" s="15">
        <f t="shared" si="3"/>
        <v>5400</v>
      </c>
    </row>
    <row r="48" spans="2:12" x14ac:dyDescent="0.25">
      <c r="B48" s="125"/>
      <c r="C48" s="5"/>
      <c r="D48" s="6"/>
      <c r="E48" s="7"/>
      <c r="F48" s="8">
        <f t="shared" si="2"/>
        <v>0</v>
      </c>
      <c r="G48" s="17" t="s">
        <v>80</v>
      </c>
      <c r="H48" s="14">
        <v>2</v>
      </c>
      <c r="I48" s="18">
        <v>16000</v>
      </c>
      <c r="J48" s="15">
        <f t="shared" si="3"/>
        <v>32000</v>
      </c>
      <c r="L48">
        <v>130</v>
      </c>
    </row>
    <row r="49" spans="2:10" x14ac:dyDescent="0.25">
      <c r="B49" s="125"/>
      <c r="C49" s="5"/>
      <c r="D49" s="6"/>
      <c r="E49" s="7"/>
      <c r="F49" s="8"/>
      <c r="G49" s="17" t="s">
        <v>29</v>
      </c>
      <c r="H49" s="14">
        <v>4</v>
      </c>
      <c r="I49" s="18">
        <v>533</v>
      </c>
      <c r="J49" s="15">
        <f t="shared" si="3"/>
        <v>2132</v>
      </c>
    </row>
    <row r="50" spans="2:10" x14ac:dyDescent="0.25">
      <c r="B50" s="125"/>
      <c r="C50" s="5"/>
      <c r="D50" s="6"/>
      <c r="E50" s="7"/>
      <c r="F50" s="8"/>
      <c r="G50" s="17" t="s">
        <v>30</v>
      </c>
      <c r="H50" s="14">
        <v>4</v>
      </c>
      <c r="I50" s="18">
        <v>533</v>
      </c>
      <c r="J50" s="15">
        <f t="shared" si="3"/>
        <v>2132</v>
      </c>
    </row>
    <row r="51" spans="2:10" x14ac:dyDescent="0.25">
      <c r="B51" s="125"/>
      <c r="C51" s="5"/>
      <c r="D51" s="6"/>
      <c r="E51" s="7"/>
      <c r="F51" s="8"/>
      <c r="G51" s="17" t="s">
        <v>326</v>
      </c>
      <c r="H51" s="14">
        <v>1</v>
      </c>
      <c r="I51" s="18">
        <v>5000</v>
      </c>
      <c r="J51" s="15">
        <f t="shared" si="3"/>
        <v>5000</v>
      </c>
    </row>
    <row r="52" spans="2:10" x14ac:dyDescent="0.25">
      <c r="B52" s="125"/>
      <c r="C52" s="5"/>
      <c r="D52" s="6"/>
      <c r="E52" s="7"/>
      <c r="F52" s="8"/>
      <c r="G52" s="17" t="s">
        <v>327</v>
      </c>
      <c r="H52" s="14">
        <v>1</v>
      </c>
      <c r="I52" s="18">
        <v>5000</v>
      </c>
      <c r="J52" s="15">
        <f t="shared" si="3"/>
        <v>5000</v>
      </c>
    </row>
    <row r="53" spans="2:10" x14ac:dyDescent="0.25">
      <c r="B53" s="125"/>
      <c r="C53" s="5"/>
      <c r="D53" s="6"/>
      <c r="E53" s="7"/>
      <c r="F53" s="8"/>
      <c r="G53" s="17" t="s">
        <v>328</v>
      </c>
      <c r="H53" s="14">
        <v>1</v>
      </c>
      <c r="I53" s="18">
        <v>3000</v>
      </c>
      <c r="J53" s="15">
        <f t="shared" si="3"/>
        <v>3000</v>
      </c>
    </row>
    <row r="54" spans="2:10" x14ac:dyDescent="0.25">
      <c r="B54" s="125"/>
      <c r="C54" s="5"/>
      <c r="D54" s="6"/>
      <c r="E54" s="7"/>
      <c r="F54" s="8"/>
      <c r="G54" s="17" t="s">
        <v>31</v>
      </c>
      <c r="H54" s="14">
        <v>4</v>
      </c>
      <c r="I54" s="18">
        <v>3000</v>
      </c>
      <c r="J54" s="15">
        <f t="shared" si="3"/>
        <v>12000</v>
      </c>
    </row>
    <row r="55" spans="2:10" x14ac:dyDescent="0.25">
      <c r="B55" s="125"/>
      <c r="C55" s="5"/>
      <c r="D55" s="6"/>
      <c r="E55" s="7"/>
      <c r="F55" s="8">
        <f>D55*E55</f>
        <v>0</v>
      </c>
      <c r="G55" s="17" t="s">
        <v>400</v>
      </c>
      <c r="H55" s="14">
        <v>10</v>
      </c>
      <c r="I55" s="18">
        <v>5333</v>
      </c>
      <c r="J55" s="15">
        <f t="shared" si="3"/>
        <v>53330</v>
      </c>
    </row>
    <row r="56" spans="2:10" x14ac:dyDescent="0.25">
      <c r="B56" s="125"/>
      <c r="C56" s="5"/>
      <c r="D56" s="6"/>
      <c r="E56" s="7"/>
      <c r="F56" s="8"/>
      <c r="G56" s="17" t="s">
        <v>32</v>
      </c>
      <c r="H56" s="14">
        <v>1</v>
      </c>
      <c r="I56" s="18">
        <v>160000</v>
      </c>
      <c r="J56" s="15">
        <f t="shared" si="3"/>
        <v>160000</v>
      </c>
    </row>
    <row r="57" spans="2:10" ht="15.75" customHeight="1" x14ac:dyDescent="0.25">
      <c r="B57" s="125"/>
      <c r="C57" s="5"/>
      <c r="D57" s="6"/>
      <c r="E57" s="7"/>
      <c r="F57" s="8"/>
      <c r="G57" s="16" t="s">
        <v>33</v>
      </c>
      <c r="H57" s="14">
        <v>2</v>
      </c>
      <c r="I57" s="18">
        <v>53333</v>
      </c>
      <c r="J57" s="15">
        <f t="shared" si="3"/>
        <v>106666</v>
      </c>
    </row>
    <row r="58" spans="2:10" ht="33" customHeight="1" x14ac:dyDescent="0.25">
      <c r="B58" s="125"/>
      <c r="C58" s="5"/>
      <c r="D58" s="6"/>
      <c r="E58" s="7"/>
      <c r="F58" s="8"/>
      <c r="G58" s="16" t="s">
        <v>78</v>
      </c>
      <c r="H58" s="14">
        <v>1</v>
      </c>
      <c r="I58" s="18">
        <v>3633300</v>
      </c>
      <c r="J58" s="15">
        <f t="shared" si="3"/>
        <v>3633300</v>
      </c>
    </row>
    <row r="59" spans="2:10" x14ac:dyDescent="0.25">
      <c r="B59" s="125"/>
      <c r="C59" s="5"/>
      <c r="D59" s="6"/>
      <c r="E59" s="7"/>
      <c r="F59" s="8"/>
      <c r="G59" s="17" t="s">
        <v>34</v>
      </c>
      <c r="H59" s="14">
        <v>20</v>
      </c>
      <c r="I59" s="18">
        <v>20000</v>
      </c>
      <c r="J59" s="15">
        <f t="shared" si="3"/>
        <v>400000</v>
      </c>
    </row>
    <row r="60" spans="2:10" x14ac:dyDescent="0.25">
      <c r="B60" s="113" t="s">
        <v>12</v>
      </c>
      <c r="C60" s="113"/>
      <c r="D60" s="113"/>
      <c r="E60" s="113"/>
      <c r="F60" s="114">
        <f>SUM(F25:F56)</f>
        <v>3680000</v>
      </c>
      <c r="G60" s="115" t="s">
        <v>12</v>
      </c>
      <c r="H60" s="115"/>
      <c r="I60" s="115"/>
      <c r="J60" s="116">
        <f>SUM(J25:J59)</f>
        <v>8646161</v>
      </c>
    </row>
    <row r="61" spans="2:10" ht="15.75" thickBot="1" x14ac:dyDescent="0.3">
      <c r="B61" s="113"/>
      <c r="C61" s="113"/>
      <c r="D61" s="113"/>
      <c r="E61" s="113"/>
      <c r="F61" s="114"/>
      <c r="G61" s="115"/>
      <c r="H61" s="115"/>
      <c r="I61" s="115"/>
      <c r="J61" s="116"/>
    </row>
    <row r="62" spans="2:10" ht="15" customHeight="1" x14ac:dyDescent="0.25">
      <c r="B62" s="121" t="s">
        <v>448</v>
      </c>
      <c r="C62" s="121"/>
      <c r="D62" s="121"/>
      <c r="E62" s="121"/>
      <c r="F62" s="121"/>
      <c r="G62" s="121"/>
      <c r="H62" s="121"/>
      <c r="I62" s="121"/>
      <c r="J62" s="121"/>
    </row>
    <row r="63" spans="2:10" x14ac:dyDescent="0.25">
      <c r="B63" s="122" t="s">
        <v>0</v>
      </c>
      <c r="C63" s="123" t="s">
        <v>1</v>
      </c>
      <c r="D63" s="123"/>
      <c r="E63" s="123"/>
      <c r="F63" s="123"/>
      <c r="G63" s="112" t="s">
        <v>2</v>
      </c>
      <c r="H63" s="112"/>
      <c r="I63" s="112"/>
      <c r="J63" s="112"/>
    </row>
    <row r="64" spans="2:10" x14ac:dyDescent="0.25">
      <c r="B64" s="122"/>
      <c r="C64" s="2" t="s">
        <v>3</v>
      </c>
      <c r="D64" s="3" t="s">
        <v>4</v>
      </c>
      <c r="E64" s="3" t="s">
        <v>5</v>
      </c>
      <c r="F64" s="3" t="s">
        <v>6</v>
      </c>
      <c r="G64" s="2" t="s">
        <v>3</v>
      </c>
      <c r="H64" s="3" t="s">
        <v>4</v>
      </c>
      <c r="I64" s="3" t="s">
        <v>5</v>
      </c>
      <c r="J64" s="4" t="s">
        <v>6</v>
      </c>
    </row>
    <row r="65" spans="2:14" x14ac:dyDescent="0.25">
      <c r="B65" s="2"/>
      <c r="C65" s="2"/>
      <c r="D65" s="3"/>
      <c r="E65" s="3"/>
      <c r="F65" s="21"/>
      <c r="G65" s="96" t="s">
        <v>420</v>
      </c>
      <c r="H65" s="72">
        <v>86</v>
      </c>
      <c r="I65" s="18">
        <v>1500</v>
      </c>
      <c r="J65" s="15">
        <f t="shared" ref="J65:J75" si="4">H65*I65</f>
        <v>129000</v>
      </c>
      <c r="L65">
        <f>2300/3</f>
        <v>766.66666666666663</v>
      </c>
    </row>
    <row r="66" spans="2:14" x14ac:dyDescent="0.25">
      <c r="B66" s="20"/>
      <c r="C66" s="5" t="s">
        <v>8</v>
      </c>
      <c r="D66" s="6">
        <v>10</v>
      </c>
      <c r="E66" s="7">
        <v>90000</v>
      </c>
      <c r="F66" s="8">
        <f>D66*E66</f>
        <v>900000</v>
      </c>
      <c r="G66" s="97" t="s">
        <v>36</v>
      </c>
      <c r="H66" s="72">
        <v>86</v>
      </c>
      <c r="I66" s="18">
        <v>1500</v>
      </c>
      <c r="J66" s="15">
        <f t="shared" si="4"/>
        <v>129000</v>
      </c>
      <c r="N66">
        <f>767/9</f>
        <v>85.222222222222229</v>
      </c>
    </row>
    <row r="67" spans="2:14" x14ac:dyDescent="0.25">
      <c r="B67" s="20"/>
      <c r="C67" s="5"/>
      <c r="D67" s="6"/>
      <c r="E67" s="7"/>
      <c r="F67" s="8">
        <f t="shared" ref="F67" si="5">D67*E67</f>
        <v>0</v>
      </c>
      <c r="G67" s="97" t="s">
        <v>465</v>
      </c>
      <c r="H67" s="72">
        <v>86</v>
      </c>
      <c r="I67" s="18">
        <v>1500</v>
      </c>
      <c r="J67" s="15">
        <f t="shared" si="4"/>
        <v>129000</v>
      </c>
    </row>
    <row r="68" spans="2:14" x14ac:dyDescent="0.25">
      <c r="B68" s="20"/>
      <c r="C68" s="5"/>
      <c r="D68" s="6"/>
      <c r="E68" s="7"/>
      <c r="F68" s="8"/>
      <c r="G68" s="17" t="s">
        <v>466</v>
      </c>
      <c r="H68" s="72">
        <v>86</v>
      </c>
      <c r="I68" s="18">
        <v>1500</v>
      </c>
      <c r="J68" s="15">
        <f t="shared" si="4"/>
        <v>129000</v>
      </c>
      <c r="N68">
        <f>2300/3</f>
        <v>766.66666666666663</v>
      </c>
    </row>
    <row r="69" spans="2:14" x14ac:dyDescent="0.25">
      <c r="B69" s="20"/>
      <c r="C69" s="5"/>
      <c r="D69" s="6"/>
      <c r="E69" s="7"/>
      <c r="F69" s="8"/>
      <c r="G69" s="97" t="s">
        <v>467</v>
      </c>
      <c r="H69" s="72">
        <v>86</v>
      </c>
      <c r="I69" s="18">
        <v>1500</v>
      </c>
      <c r="J69" s="15">
        <f t="shared" si="4"/>
        <v>129000</v>
      </c>
    </row>
    <row r="70" spans="2:14" x14ac:dyDescent="0.25">
      <c r="B70" s="20"/>
      <c r="C70" s="5"/>
      <c r="D70" s="6"/>
      <c r="E70" s="7"/>
      <c r="F70" s="8"/>
      <c r="G70" s="17" t="s">
        <v>468</v>
      </c>
      <c r="H70" s="72">
        <v>86</v>
      </c>
      <c r="I70" s="18">
        <v>1500</v>
      </c>
      <c r="J70" s="15">
        <f t="shared" si="4"/>
        <v>129000</v>
      </c>
    </row>
    <row r="71" spans="2:14" x14ac:dyDescent="0.25">
      <c r="B71" s="20"/>
      <c r="C71" s="5"/>
      <c r="D71" s="6"/>
      <c r="E71" s="7"/>
      <c r="F71" s="8"/>
      <c r="G71" s="17" t="s">
        <v>471</v>
      </c>
      <c r="H71" s="72">
        <v>86</v>
      </c>
      <c r="I71" s="18">
        <v>1500</v>
      </c>
      <c r="J71" s="15">
        <f t="shared" si="4"/>
        <v>129000</v>
      </c>
    </row>
    <row r="72" spans="2:14" x14ac:dyDescent="0.25">
      <c r="B72" s="20"/>
      <c r="C72" s="5"/>
      <c r="D72" s="6"/>
      <c r="E72" s="7"/>
      <c r="F72" s="8"/>
      <c r="G72" s="17" t="s">
        <v>469</v>
      </c>
      <c r="H72" s="72">
        <v>86</v>
      </c>
      <c r="I72" s="18">
        <v>1500</v>
      </c>
      <c r="J72" s="15">
        <f t="shared" si="4"/>
        <v>129000</v>
      </c>
    </row>
    <row r="73" spans="2:14" x14ac:dyDescent="0.25">
      <c r="B73" s="20"/>
      <c r="C73" s="5"/>
      <c r="D73" s="6"/>
      <c r="E73" s="7"/>
      <c r="F73" s="8"/>
      <c r="G73" s="17" t="s">
        <v>470</v>
      </c>
      <c r="H73" s="72">
        <v>86</v>
      </c>
      <c r="I73" s="18">
        <v>1500</v>
      </c>
      <c r="J73" s="15">
        <f t="shared" si="4"/>
        <v>129000</v>
      </c>
    </row>
    <row r="74" spans="2:14" x14ac:dyDescent="0.25">
      <c r="B74" s="20"/>
      <c r="C74" s="5"/>
      <c r="D74" s="6"/>
      <c r="E74" s="7"/>
      <c r="F74" s="8"/>
      <c r="G74" s="17"/>
      <c r="H74" s="29"/>
      <c r="I74" s="18"/>
      <c r="J74" s="15">
        <f t="shared" si="4"/>
        <v>0</v>
      </c>
    </row>
    <row r="75" spans="2:14" x14ac:dyDescent="0.25">
      <c r="B75" s="22"/>
      <c r="C75" s="5"/>
      <c r="D75" s="6"/>
      <c r="E75" s="7"/>
      <c r="F75" s="8"/>
      <c r="J75" s="15">
        <f t="shared" si="4"/>
        <v>0</v>
      </c>
    </row>
    <row r="76" spans="2:14" x14ac:dyDescent="0.25">
      <c r="B76" s="113" t="s">
        <v>12</v>
      </c>
      <c r="C76" s="113"/>
      <c r="D76" s="113"/>
      <c r="E76" s="113"/>
      <c r="F76" s="114">
        <f>SUM(F66:F75)</f>
        <v>900000</v>
      </c>
      <c r="G76" s="115" t="s">
        <v>12</v>
      </c>
      <c r="H76" s="115"/>
      <c r="I76" s="115"/>
      <c r="J76" s="116">
        <f>SUM(J65:J75)</f>
        <v>1161000</v>
      </c>
    </row>
    <row r="77" spans="2:14" ht="15.75" thickBot="1" x14ac:dyDescent="0.3">
      <c r="B77" s="113"/>
      <c r="C77" s="113"/>
      <c r="D77" s="113"/>
      <c r="E77" s="113"/>
      <c r="F77" s="114"/>
      <c r="G77" s="115"/>
      <c r="H77" s="115"/>
      <c r="I77" s="115"/>
      <c r="J77" s="116"/>
    </row>
    <row r="78" spans="2:14" ht="14.85" customHeight="1" x14ac:dyDescent="0.25">
      <c r="B78" s="121" t="s">
        <v>452</v>
      </c>
      <c r="C78" s="121"/>
      <c r="D78" s="121"/>
      <c r="E78" s="121"/>
      <c r="F78" s="121"/>
      <c r="G78" s="121"/>
      <c r="H78" s="121"/>
      <c r="I78" s="121"/>
      <c r="J78" s="121"/>
    </row>
    <row r="79" spans="2:14" x14ac:dyDescent="0.25">
      <c r="B79" s="122" t="s">
        <v>0</v>
      </c>
      <c r="C79" s="123" t="s">
        <v>1</v>
      </c>
      <c r="D79" s="123"/>
      <c r="E79" s="123"/>
      <c r="F79" s="123"/>
      <c r="G79" s="112" t="s">
        <v>2</v>
      </c>
      <c r="H79" s="112"/>
      <c r="I79" s="112"/>
      <c r="J79" s="112"/>
    </row>
    <row r="80" spans="2:14" x14ac:dyDescent="0.25">
      <c r="B80" s="122"/>
      <c r="C80" s="2" t="s">
        <v>3</v>
      </c>
      <c r="D80" s="3" t="s">
        <v>4</v>
      </c>
      <c r="E80" s="3" t="s">
        <v>5</v>
      </c>
      <c r="F80" s="3" t="s">
        <v>6</v>
      </c>
      <c r="G80" s="2" t="s">
        <v>3</v>
      </c>
      <c r="H80" s="3" t="s">
        <v>4</v>
      </c>
      <c r="I80" s="3" t="s">
        <v>5</v>
      </c>
      <c r="J80" s="4" t="s">
        <v>6</v>
      </c>
    </row>
    <row r="81" spans="1:10" x14ac:dyDescent="0.25">
      <c r="B81" s="124"/>
      <c r="C81" s="5" t="s">
        <v>43</v>
      </c>
      <c r="D81" s="6">
        <v>100</v>
      </c>
      <c r="E81" s="7">
        <v>5000</v>
      </c>
      <c r="F81" s="8">
        <f t="shared" ref="F81:F100" si="6">D81*E81</f>
        <v>500000</v>
      </c>
      <c r="G81" s="23" t="s">
        <v>42</v>
      </c>
      <c r="H81" s="6">
        <v>5</v>
      </c>
      <c r="I81" s="7">
        <v>15000</v>
      </c>
      <c r="J81" s="15">
        <f>H81*I81</f>
        <v>75000</v>
      </c>
    </row>
    <row r="82" spans="1:10" x14ac:dyDescent="0.25">
      <c r="B82" s="124"/>
      <c r="C82" s="5" t="s">
        <v>45</v>
      </c>
      <c r="D82" s="12">
        <v>30</v>
      </c>
      <c r="E82" s="13">
        <v>2000</v>
      </c>
      <c r="F82" s="8">
        <f t="shared" si="6"/>
        <v>60000</v>
      </c>
      <c r="G82" s="23" t="s">
        <v>76</v>
      </c>
      <c r="H82" s="14">
        <v>10</v>
      </c>
      <c r="I82" s="7">
        <v>15000</v>
      </c>
      <c r="J82" s="15">
        <f t="shared" ref="J82:J111" si="7">H82*I82</f>
        <v>150000</v>
      </c>
    </row>
    <row r="83" spans="1:10" x14ac:dyDescent="0.25">
      <c r="B83" s="124"/>
      <c r="C83" s="5" t="s">
        <v>46</v>
      </c>
      <c r="D83" s="6">
        <v>200</v>
      </c>
      <c r="E83" s="7">
        <v>1000</v>
      </c>
      <c r="F83" s="8">
        <f t="shared" si="6"/>
        <v>200000</v>
      </c>
      <c r="G83" s="23" t="s">
        <v>47</v>
      </c>
      <c r="H83" s="14">
        <v>5</v>
      </c>
      <c r="I83" s="7">
        <v>15000</v>
      </c>
      <c r="J83" s="15">
        <f t="shared" si="7"/>
        <v>75000</v>
      </c>
    </row>
    <row r="84" spans="1:10" x14ac:dyDescent="0.25">
      <c r="A84">
        <v>540</v>
      </c>
      <c r="B84" s="124"/>
      <c r="C84" s="5" t="s">
        <v>472</v>
      </c>
      <c r="D84" s="14">
        <v>20</v>
      </c>
      <c r="E84" s="18">
        <v>5000</v>
      </c>
      <c r="F84" s="8">
        <f t="shared" si="6"/>
        <v>100000</v>
      </c>
      <c r="G84" s="23" t="s">
        <v>52</v>
      </c>
      <c r="H84" s="14">
        <v>10</v>
      </c>
      <c r="I84" s="18">
        <v>15000</v>
      </c>
      <c r="J84" s="15">
        <f t="shared" si="7"/>
        <v>150000</v>
      </c>
    </row>
    <row r="85" spans="1:10" x14ac:dyDescent="0.25">
      <c r="B85" s="124"/>
      <c r="C85" s="5" t="s">
        <v>473</v>
      </c>
      <c r="D85" s="6">
        <v>100</v>
      </c>
      <c r="E85" s="7">
        <v>1000</v>
      </c>
      <c r="F85" s="8">
        <f t="shared" si="6"/>
        <v>100000</v>
      </c>
      <c r="G85" s="23" t="s">
        <v>50</v>
      </c>
      <c r="H85" s="14">
        <v>10</v>
      </c>
      <c r="I85" s="18">
        <v>15000</v>
      </c>
      <c r="J85" s="15">
        <f t="shared" si="7"/>
        <v>150000</v>
      </c>
    </row>
    <row r="86" spans="1:10" x14ac:dyDescent="0.25">
      <c r="B86" s="124"/>
      <c r="C86" s="11"/>
      <c r="D86" s="12"/>
      <c r="E86" s="7"/>
      <c r="F86" s="8">
        <f t="shared" si="6"/>
        <v>0</v>
      </c>
      <c r="G86" s="11" t="s">
        <v>54</v>
      </c>
      <c r="H86" s="12">
        <v>5</v>
      </c>
      <c r="I86" s="18">
        <v>8000</v>
      </c>
      <c r="J86" s="15">
        <f t="shared" si="7"/>
        <v>40000</v>
      </c>
    </row>
    <row r="87" spans="1:10" x14ac:dyDescent="0.25">
      <c r="B87" s="124"/>
      <c r="C87" s="5"/>
      <c r="D87" s="1"/>
      <c r="E87" s="7"/>
      <c r="F87" s="8">
        <f t="shared" si="6"/>
        <v>0</v>
      </c>
      <c r="G87" s="23" t="s">
        <v>441</v>
      </c>
      <c r="H87" s="14">
        <v>10</v>
      </c>
      <c r="I87" s="18">
        <v>8000</v>
      </c>
      <c r="J87" s="15">
        <f>H86*I87</f>
        <v>40000</v>
      </c>
    </row>
    <row r="88" spans="1:10" x14ac:dyDescent="0.25">
      <c r="B88" s="124"/>
      <c r="C88" s="5"/>
      <c r="D88" s="6"/>
      <c r="E88" s="7"/>
      <c r="F88" s="8">
        <f t="shared" si="6"/>
        <v>0</v>
      </c>
      <c r="G88" s="11" t="s">
        <v>71</v>
      </c>
      <c r="H88" s="6">
        <v>10</v>
      </c>
      <c r="I88" s="18">
        <v>8000</v>
      </c>
      <c r="J88" s="15">
        <f>H87*I88</f>
        <v>80000</v>
      </c>
    </row>
    <row r="89" spans="1:10" x14ac:dyDescent="0.25">
      <c r="B89" s="124"/>
      <c r="C89" s="5"/>
      <c r="D89" s="6"/>
      <c r="E89" s="7"/>
      <c r="F89" s="8">
        <f t="shared" si="6"/>
        <v>0</v>
      </c>
      <c r="G89" s="11" t="s">
        <v>53</v>
      </c>
      <c r="H89" s="103">
        <v>10</v>
      </c>
      <c r="I89" s="18">
        <v>8000</v>
      </c>
      <c r="J89" s="15">
        <f t="shared" ref="J89:J90" si="8">H88*I89</f>
        <v>80000</v>
      </c>
    </row>
    <row r="90" spans="1:10" x14ac:dyDescent="0.25">
      <c r="B90" s="124"/>
      <c r="C90" s="5"/>
      <c r="D90" s="6"/>
      <c r="E90" s="7"/>
      <c r="F90" s="8">
        <f t="shared" si="6"/>
        <v>0</v>
      </c>
      <c r="G90" s="11" t="s">
        <v>425</v>
      </c>
      <c r="H90" s="12">
        <v>15</v>
      </c>
      <c r="I90" s="18">
        <v>5000</v>
      </c>
      <c r="J90" s="15">
        <f t="shared" si="8"/>
        <v>50000</v>
      </c>
    </row>
    <row r="91" spans="1:10" x14ac:dyDescent="0.25">
      <c r="B91" s="124"/>
      <c r="C91" s="5"/>
      <c r="D91" s="6"/>
      <c r="E91" s="7"/>
      <c r="F91" s="8">
        <f t="shared" si="6"/>
        <v>0</v>
      </c>
      <c r="G91" s="23"/>
      <c r="H91" s="94"/>
      <c r="I91" s="18"/>
      <c r="J91" s="15"/>
    </row>
    <row r="92" spans="1:10" x14ac:dyDescent="0.25">
      <c r="B92" s="124"/>
      <c r="C92" s="5"/>
      <c r="D92" s="6"/>
      <c r="E92" s="7"/>
      <c r="F92" s="8">
        <f t="shared" si="6"/>
        <v>0</v>
      </c>
      <c r="G92" s="23" t="s">
        <v>55</v>
      </c>
      <c r="H92" s="14">
        <v>1</v>
      </c>
      <c r="I92" s="18">
        <v>194000</v>
      </c>
      <c r="J92" s="15">
        <f t="shared" si="7"/>
        <v>194000</v>
      </c>
    </row>
    <row r="93" spans="1:10" x14ac:dyDescent="0.25">
      <c r="B93" s="124"/>
      <c r="C93" s="5"/>
      <c r="D93" s="6"/>
      <c r="E93" s="7"/>
      <c r="F93" s="8">
        <f t="shared" si="6"/>
        <v>0</v>
      </c>
      <c r="G93" s="23" t="s">
        <v>56</v>
      </c>
      <c r="H93" s="94">
        <v>2</v>
      </c>
      <c r="I93" s="18">
        <v>8667</v>
      </c>
      <c r="J93" s="15">
        <f t="shared" si="7"/>
        <v>17334</v>
      </c>
    </row>
    <row r="94" spans="1:10" x14ac:dyDescent="0.25">
      <c r="B94" s="124"/>
      <c r="C94" s="5"/>
      <c r="D94" s="6"/>
      <c r="E94" s="7"/>
      <c r="F94" s="8">
        <f t="shared" si="6"/>
        <v>0</v>
      </c>
      <c r="G94" s="23" t="s">
        <v>57</v>
      </c>
      <c r="H94" s="94">
        <v>2</v>
      </c>
      <c r="I94" s="18">
        <v>13333</v>
      </c>
      <c r="J94" s="15">
        <f t="shared" si="7"/>
        <v>26666</v>
      </c>
    </row>
    <row r="95" spans="1:10" x14ac:dyDescent="0.25">
      <c r="B95" s="124"/>
      <c r="C95" s="99"/>
      <c r="D95" s="93"/>
      <c r="E95" s="7"/>
      <c r="F95" s="8">
        <f t="shared" si="6"/>
        <v>0</v>
      </c>
      <c r="G95" s="23" t="s">
        <v>67</v>
      </c>
      <c r="H95" s="94">
        <v>1</v>
      </c>
      <c r="I95" s="18">
        <v>42667</v>
      </c>
      <c r="J95" s="15">
        <f t="shared" si="7"/>
        <v>42667</v>
      </c>
    </row>
    <row r="96" spans="1:10" x14ac:dyDescent="0.25">
      <c r="B96" s="124"/>
      <c r="C96" s="5"/>
      <c r="D96" s="6"/>
      <c r="E96" s="7"/>
      <c r="F96" s="8">
        <f t="shared" si="6"/>
        <v>0</v>
      </c>
      <c r="G96" s="23" t="s">
        <v>68</v>
      </c>
      <c r="H96" s="94">
        <v>1</v>
      </c>
      <c r="I96" s="18">
        <v>13333</v>
      </c>
      <c r="J96" s="15">
        <f t="shared" si="7"/>
        <v>13333</v>
      </c>
    </row>
    <row r="97" spans="2:12" x14ac:dyDescent="0.25">
      <c r="B97" s="124"/>
      <c r="C97" s="5"/>
      <c r="D97" s="6"/>
      <c r="E97" s="7"/>
      <c r="F97" s="8">
        <f t="shared" si="6"/>
        <v>0</v>
      </c>
      <c r="G97" s="23" t="s">
        <v>90</v>
      </c>
      <c r="H97" s="94">
        <v>1</v>
      </c>
      <c r="I97" s="18">
        <v>7333</v>
      </c>
      <c r="J97" s="15">
        <f t="shared" si="7"/>
        <v>7333</v>
      </c>
    </row>
    <row r="98" spans="2:12" x14ac:dyDescent="0.25">
      <c r="B98" s="124"/>
      <c r="C98" s="5"/>
      <c r="D98" s="6"/>
      <c r="E98" s="7"/>
      <c r="F98" s="8">
        <f t="shared" si="6"/>
        <v>0</v>
      </c>
      <c r="G98" s="23" t="s">
        <v>82</v>
      </c>
      <c r="H98" s="94">
        <v>1</v>
      </c>
      <c r="I98" s="18">
        <v>12000</v>
      </c>
      <c r="J98" s="15">
        <f t="shared" si="7"/>
        <v>12000</v>
      </c>
    </row>
    <row r="99" spans="2:12" x14ac:dyDescent="0.25">
      <c r="B99" s="124"/>
      <c r="C99" s="5"/>
      <c r="D99" s="6"/>
      <c r="E99" s="7"/>
      <c r="F99" s="8">
        <f t="shared" si="6"/>
        <v>0</v>
      </c>
      <c r="G99" s="23" t="s">
        <v>58</v>
      </c>
      <c r="H99" s="94">
        <v>2</v>
      </c>
      <c r="I99" s="18">
        <v>7333</v>
      </c>
      <c r="J99" s="15">
        <f t="shared" si="7"/>
        <v>14666</v>
      </c>
      <c r="L99">
        <v>29</v>
      </c>
    </row>
    <row r="100" spans="2:12" x14ac:dyDescent="0.25">
      <c r="B100" s="124"/>
      <c r="C100" s="5"/>
      <c r="D100" s="6"/>
      <c r="E100" s="7"/>
      <c r="F100" s="8">
        <f t="shared" si="6"/>
        <v>0</v>
      </c>
      <c r="G100" s="23" t="s">
        <v>91</v>
      </c>
      <c r="H100" s="94">
        <v>2</v>
      </c>
      <c r="I100" s="18">
        <v>18000</v>
      </c>
      <c r="J100" s="15">
        <f t="shared" si="7"/>
        <v>36000</v>
      </c>
    </row>
    <row r="101" spans="2:12" x14ac:dyDescent="0.25">
      <c r="B101" s="124"/>
      <c r="C101" s="5"/>
      <c r="D101" s="6"/>
      <c r="E101" s="7"/>
      <c r="F101" s="8"/>
      <c r="G101" s="23" t="s">
        <v>89</v>
      </c>
      <c r="H101" s="94">
        <v>1</v>
      </c>
      <c r="I101" s="18">
        <v>70000</v>
      </c>
      <c r="J101" s="15">
        <f t="shared" si="7"/>
        <v>70000</v>
      </c>
    </row>
    <row r="102" spans="2:12" x14ac:dyDescent="0.25">
      <c r="B102" s="124"/>
      <c r="C102" s="5"/>
      <c r="D102" s="6"/>
      <c r="E102" s="7"/>
      <c r="F102" s="8"/>
      <c r="G102" s="11" t="s">
        <v>83</v>
      </c>
      <c r="H102" s="12">
        <v>1</v>
      </c>
      <c r="I102" s="18">
        <v>70000</v>
      </c>
      <c r="J102" s="15">
        <f t="shared" si="7"/>
        <v>70000</v>
      </c>
    </row>
    <row r="103" spans="2:12" x14ac:dyDescent="0.25">
      <c r="B103" s="124"/>
      <c r="C103" s="5"/>
      <c r="D103" s="6"/>
      <c r="E103" s="7"/>
      <c r="F103" s="8"/>
      <c r="G103" s="11" t="s">
        <v>84</v>
      </c>
      <c r="H103" s="12">
        <v>1</v>
      </c>
      <c r="I103" s="18">
        <v>12000</v>
      </c>
      <c r="J103" s="15">
        <f t="shared" si="7"/>
        <v>12000</v>
      </c>
    </row>
    <row r="104" spans="2:12" x14ac:dyDescent="0.25">
      <c r="B104" s="124"/>
      <c r="C104" s="5" t="s">
        <v>8</v>
      </c>
      <c r="D104" s="14">
        <v>5</v>
      </c>
      <c r="E104" s="18">
        <v>5000</v>
      </c>
      <c r="F104" s="8"/>
      <c r="G104" s="23" t="s">
        <v>59</v>
      </c>
      <c r="H104" s="14">
        <v>2</v>
      </c>
      <c r="I104" s="18">
        <v>16000</v>
      </c>
      <c r="J104" s="15">
        <f t="shared" si="7"/>
        <v>32000</v>
      </c>
    </row>
    <row r="105" spans="2:12" x14ac:dyDescent="0.25">
      <c r="B105" s="124"/>
      <c r="C105" s="5"/>
      <c r="D105" s="6"/>
      <c r="E105" s="7"/>
      <c r="F105" s="8"/>
      <c r="G105" s="23" t="s">
        <v>60</v>
      </c>
      <c r="H105" s="14">
        <v>1</v>
      </c>
      <c r="I105" s="18">
        <v>40000</v>
      </c>
      <c r="J105" s="15">
        <f t="shared" si="7"/>
        <v>40000</v>
      </c>
    </row>
    <row r="106" spans="2:12" x14ac:dyDescent="0.25">
      <c r="B106" s="124"/>
      <c r="C106" s="11"/>
      <c r="D106" s="11"/>
      <c r="E106" s="11"/>
      <c r="F106" s="8"/>
      <c r="G106" s="11" t="s">
        <v>61</v>
      </c>
      <c r="H106" s="6">
        <v>3</v>
      </c>
      <c r="I106" s="18">
        <v>42000</v>
      </c>
      <c r="J106" s="15">
        <f t="shared" si="7"/>
        <v>126000</v>
      </c>
    </row>
    <row r="107" spans="2:12" x14ac:dyDescent="0.25">
      <c r="B107" s="24"/>
      <c r="C107" s="11"/>
      <c r="D107" s="11"/>
      <c r="E107" s="11"/>
      <c r="F107" s="8"/>
      <c r="G107" s="11" t="s">
        <v>62</v>
      </c>
      <c r="H107" s="6">
        <v>1</v>
      </c>
      <c r="I107" s="18">
        <v>40000</v>
      </c>
      <c r="J107" s="15">
        <f t="shared" si="7"/>
        <v>40000</v>
      </c>
    </row>
    <row r="108" spans="2:12" x14ac:dyDescent="0.25">
      <c r="B108" s="24"/>
      <c r="C108" s="11"/>
      <c r="D108" s="11"/>
      <c r="E108" s="11"/>
      <c r="F108" s="8"/>
      <c r="G108" s="11" t="s">
        <v>87</v>
      </c>
      <c r="H108" s="6">
        <v>1</v>
      </c>
      <c r="I108" s="18">
        <v>80000</v>
      </c>
      <c r="J108" s="15">
        <f t="shared" si="7"/>
        <v>80000</v>
      </c>
    </row>
    <row r="109" spans="2:12" x14ac:dyDescent="0.25">
      <c r="B109" s="24"/>
      <c r="C109" s="11"/>
      <c r="D109" s="11"/>
      <c r="E109" s="11"/>
      <c r="F109" s="8"/>
      <c r="G109" s="11" t="s">
        <v>63</v>
      </c>
      <c r="H109" s="6">
        <v>1</v>
      </c>
      <c r="I109" s="18">
        <v>70000</v>
      </c>
      <c r="J109" s="15">
        <f t="shared" si="7"/>
        <v>70000</v>
      </c>
    </row>
    <row r="110" spans="2:12" x14ac:dyDescent="0.25">
      <c r="B110" s="24"/>
      <c r="C110" s="74"/>
      <c r="D110" s="74"/>
      <c r="E110" s="74"/>
      <c r="F110" s="8"/>
      <c r="G110" s="11" t="s">
        <v>338</v>
      </c>
      <c r="H110" s="6">
        <v>2</v>
      </c>
      <c r="I110" s="18">
        <v>40000</v>
      </c>
      <c r="J110" s="15">
        <f t="shared" si="7"/>
        <v>80000</v>
      </c>
    </row>
    <row r="111" spans="2:12" x14ac:dyDescent="0.25">
      <c r="B111" s="24"/>
      <c r="C111" s="74"/>
      <c r="D111" s="74"/>
      <c r="E111" s="74"/>
      <c r="F111" s="8"/>
      <c r="G111" s="11" t="s">
        <v>85</v>
      </c>
      <c r="H111" s="6">
        <v>2</v>
      </c>
      <c r="I111" s="18">
        <v>50000</v>
      </c>
      <c r="J111" s="15">
        <f t="shared" si="7"/>
        <v>100000</v>
      </c>
    </row>
    <row r="112" spans="2:12" x14ac:dyDescent="0.25">
      <c r="B112" s="24"/>
      <c r="C112" s="74"/>
      <c r="D112" s="74"/>
      <c r="E112" s="74"/>
      <c r="F112" s="8"/>
      <c r="G112" s="11" t="s">
        <v>339</v>
      </c>
      <c r="H112" s="6"/>
      <c r="I112" s="18"/>
      <c r="J112" s="15"/>
    </row>
    <row r="113" spans="2:10" x14ac:dyDescent="0.25">
      <c r="B113" s="113" t="s">
        <v>12</v>
      </c>
      <c r="C113" s="113"/>
      <c r="D113" s="113"/>
      <c r="E113" s="113"/>
      <c r="F113" s="114">
        <f>SUM(F81:F106)</f>
        <v>960000</v>
      </c>
      <c r="G113" s="115" t="s">
        <v>12</v>
      </c>
      <c r="H113" s="115"/>
      <c r="I113" s="115"/>
      <c r="J113" s="116">
        <f>SUM(J81:J112)</f>
        <v>1973999</v>
      </c>
    </row>
    <row r="114" spans="2:10" x14ac:dyDescent="0.25">
      <c r="B114" s="113"/>
      <c r="C114" s="113"/>
      <c r="D114" s="113"/>
      <c r="E114" s="113"/>
      <c r="F114" s="114"/>
      <c r="G114" s="115"/>
      <c r="H114" s="115"/>
      <c r="I114" s="115"/>
      <c r="J114" s="116"/>
    </row>
    <row r="115" spans="2:10" ht="15.75" thickBot="1" x14ac:dyDescent="0.3">
      <c r="B115" s="117" t="s">
        <v>64</v>
      </c>
      <c r="C115" s="117"/>
      <c r="D115" s="117"/>
      <c r="E115" s="117"/>
      <c r="F115" s="118">
        <f>SUM(F113+F76+F60+F20)</f>
        <v>30276300</v>
      </c>
      <c r="G115" s="119" t="s">
        <v>64</v>
      </c>
      <c r="H115" s="119"/>
      <c r="I115" s="119"/>
      <c r="J115" s="120">
        <f>SUM(J113+J76+J20+J60)</f>
        <v>18408160</v>
      </c>
    </row>
    <row r="116" spans="2:10" ht="15.75" thickBot="1" x14ac:dyDescent="0.3">
      <c r="B116" s="117"/>
      <c r="C116" s="117"/>
      <c r="D116" s="117"/>
      <c r="E116" s="117"/>
      <c r="F116" s="118"/>
      <c r="G116" s="119"/>
      <c r="H116" s="119"/>
      <c r="I116" s="119"/>
      <c r="J116" s="120"/>
    </row>
    <row r="120" spans="2:10" x14ac:dyDescent="0.25">
      <c r="G120">
        <f>34*12000000</f>
        <v>408000000</v>
      </c>
    </row>
  </sheetData>
  <mergeCells count="41">
    <mergeCell ref="B115:E116"/>
    <mergeCell ref="F115:F116"/>
    <mergeCell ref="G115:I116"/>
    <mergeCell ref="J115:J116"/>
    <mergeCell ref="B113:E114"/>
    <mergeCell ref="F113:F114"/>
    <mergeCell ref="G113:I114"/>
    <mergeCell ref="J113:J114"/>
    <mergeCell ref="B76:E77"/>
    <mergeCell ref="F76:F77"/>
    <mergeCell ref="G76:I77"/>
    <mergeCell ref="J76:J77"/>
    <mergeCell ref="B81:B106"/>
    <mergeCell ref="B78:J78"/>
    <mergeCell ref="B79:B80"/>
    <mergeCell ref="C79:F79"/>
    <mergeCell ref="G79:J79"/>
    <mergeCell ref="B62:J62"/>
    <mergeCell ref="B63:B64"/>
    <mergeCell ref="C63:F63"/>
    <mergeCell ref="G63:J63"/>
    <mergeCell ref="B22:J22"/>
    <mergeCell ref="B23:B24"/>
    <mergeCell ref="C23:F23"/>
    <mergeCell ref="G23:J23"/>
    <mergeCell ref="B25:B59"/>
    <mergeCell ref="B60:E61"/>
    <mergeCell ref="F60:F61"/>
    <mergeCell ref="G60:I61"/>
    <mergeCell ref="J60:J61"/>
    <mergeCell ref="B1:J6"/>
    <mergeCell ref="B7:J7"/>
    <mergeCell ref="B8:J8"/>
    <mergeCell ref="B9:B10"/>
    <mergeCell ref="C9:F9"/>
    <mergeCell ref="G9:J9"/>
    <mergeCell ref="B11:B19"/>
    <mergeCell ref="B20:E21"/>
    <mergeCell ref="F20:F21"/>
    <mergeCell ref="G20:I21"/>
    <mergeCell ref="J20:J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85A3-A603-4EEC-8DD7-A4DC22C0E129}">
  <dimension ref="A1:P137"/>
  <sheetViews>
    <sheetView topLeftCell="B63" workbookViewId="0">
      <selection activeCell="G17" sqref="G17"/>
    </sheetView>
  </sheetViews>
  <sheetFormatPr baseColWidth="10" defaultColWidth="10.5703125" defaultRowHeight="15" x14ac:dyDescent="0.25"/>
  <cols>
    <col min="2" max="2" width="20.28515625" customWidth="1"/>
    <col min="3" max="3" width="27" customWidth="1"/>
    <col min="5" max="5" width="13.140625" customWidth="1"/>
    <col min="6" max="6" width="14.28515625" customWidth="1"/>
    <col min="7" max="7" width="42.7109375" bestFit="1" customWidth="1"/>
    <col min="8" max="8" width="13" bestFit="1" customWidth="1"/>
    <col min="9" max="9" width="12" customWidth="1"/>
    <col min="10" max="10" width="16.5703125" customWidth="1"/>
  </cols>
  <sheetData>
    <row r="1" spans="2:16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6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6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6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6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6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</row>
    <row r="7" spans="2:16" ht="15.75" thickBot="1" x14ac:dyDescent="0.3">
      <c r="B7" s="127" t="s">
        <v>456</v>
      </c>
      <c r="C7" s="127"/>
      <c r="D7" s="127"/>
      <c r="E7" s="127"/>
      <c r="F7" s="127"/>
      <c r="G7" s="127"/>
      <c r="H7" s="127"/>
      <c r="I7" s="127"/>
      <c r="J7" s="127"/>
    </row>
    <row r="8" spans="2:16" ht="22.5" customHeight="1" x14ac:dyDescent="0.25">
      <c r="B8" s="121" t="s">
        <v>457</v>
      </c>
      <c r="C8" s="121"/>
      <c r="D8" s="121"/>
      <c r="E8" s="121"/>
      <c r="F8" s="121"/>
      <c r="G8" s="121"/>
      <c r="H8" s="121"/>
      <c r="I8" s="121"/>
      <c r="J8" s="121"/>
    </row>
    <row r="9" spans="2:16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6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</row>
    <row r="11" spans="2:16" ht="30" x14ac:dyDescent="0.25">
      <c r="B11" s="124"/>
      <c r="C11" s="5" t="s">
        <v>75</v>
      </c>
      <c r="D11" s="26">
        <f>376+180</f>
        <v>556</v>
      </c>
      <c r="E11" s="7">
        <v>30000</v>
      </c>
      <c r="F11" s="8">
        <f>D11*E11</f>
        <v>16680000</v>
      </c>
      <c r="G11" s="9" t="s">
        <v>7</v>
      </c>
      <c r="H11" s="19">
        <v>12</v>
      </c>
      <c r="I11" s="32">
        <v>270000</v>
      </c>
      <c r="J11" s="10">
        <f t="shared" ref="J11:J16" si="0">H11*I11</f>
        <v>3240000</v>
      </c>
      <c r="K11">
        <v>2627</v>
      </c>
      <c r="L11" t="s">
        <v>442</v>
      </c>
      <c r="O11">
        <f>K11/7</f>
        <v>375.28571428571428</v>
      </c>
    </row>
    <row r="12" spans="2:16" x14ac:dyDescent="0.25">
      <c r="B12" s="124"/>
      <c r="C12" s="11"/>
      <c r="D12" s="25"/>
      <c r="E12" s="13"/>
      <c r="F12" s="8"/>
      <c r="G12" s="9" t="s">
        <v>9</v>
      </c>
      <c r="H12" s="14">
        <v>5</v>
      </c>
      <c r="I12" s="27">
        <v>35000</v>
      </c>
      <c r="J12" s="15">
        <f t="shared" si="0"/>
        <v>175000</v>
      </c>
    </row>
    <row r="13" spans="2:16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14">
        <v>60</v>
      </c>
      <c r="I13" s="27">
        <v>5000</v>
      </c>
      <c r="J13" s="15">
        <f t="shared" si="0"/>
        <v>300000</v>
      </c>
      <c r="N13">
        <f>K11*3</f>
        <v>7881</v>
      </c>
    </row>
    <row r="14" spans="2:16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14">
        <v>2</v>
      </c>
      <c r="I14" s="27">
        <v>60000</v>
      </c>
      <c r="J14" s="15">
        <f t="shared" si="0"/>
        <v>120000</v>
      </c>
      <c r="L14">
        <v>197</v>
      </c>
      <c r="N14">
        <f>K11-838</f>
        <v>1789</v>
      </c>
      <c r="P14">
        <f>D11*3</f>
        <v>1668</v>
      </c>
    </row>
    <row r="15" spans="2:16" x14ac:dyDescent="0.25">
      <c r="B15" s="124"/>
      <c r="C15" s="5"/>
      <c r="D15" s="6"/>
      <c r="E15" s="7"/>
      <c r="F15" s="8">
        <f t="shared" ref="F15:F18" si="1">D15*E15</f>
        <v>0</v>
      </c>
      <c r="G15" s="16" t="s">
        <v>65</v>
      </c>
      <c r="H15" s="14">
        <v>17</v>
      </c>
      <c r="I15" s="27">
        <v>38000</v>
      </c>
      <c r="J15" s="15">
        <f t="shared" si="0"/>
        <v>646000</v>
      </c>
      <c r="K15" s="33"/>
      <c r="L15">
        <v>119</v>
      </c>
    </row>
    <row r="16" spans="2:16" ht="16.5" x14ac:dyDescent="0.3">
      <c r="B16" s="124"/>
      <c r="C16" s="68"/>
      <c r="D16" s="6"/>
      <c r="E16" s="81"/>
      <c r="F16" s="8">
        <f t="shared" si="1"/>
        <v>0</v>
      </c>
      <c r="G16" s="17" t="s">
        <v>66</v>
      </c>
      <c r="H16" s="14">
        <v>17</v>
      </c>
      <c r="I16" s="28">
        <v>6000</v>
      </c>
      <c r="J16" s="15">
        <f t="shared" si="0"/>
        <v>102000</v>
      </c>
      <c r="L16">
        <v>212</v>
      </c>
      <c r="N16">
        <f>1800*2</f>
        <v>3600</v>
      </c>
    </row>
    <row r="17" spans="2:13" ht="16.5" x14ac:dyDescent="0.3">
      <c r="B17" s="124"/>
      <c r="C17" s="5"/>
      <c r="D17" s="6"/>
      <c r="E17" s="7"/>
      <c r="F17" s="8">
        <f t="shared" si="1"/>
        <v>0</v>
      </c>
      <c r="G17" s="68"/>
      <c r="H17" s="14"/>
      <c r="I17" s="44"/>
      <c r="J17" s="15"/>
      <c r="L17">
        <v>136</v>
      </c>
    </row>
    <row r="18" spans="2:13" ht="15.75" x14ac:dyDescent="0.25">
      <c r="B18" s="124"/>
      <c r="C18" s="5"/>
      <c r="D18" s="6"/>
      <c r="E18" s="7"/>
      <c r="F18" s="8">
        <f t="shared" si="1"/>
        <v>0</v>
      </c>
      <c r="G18" s="102"/>
      <c r="H18" s="14"/>
      <c r="I18" s="28"/>
      <c r="J18" s="15"/>
      <c r="K18" s="33"/>
      <c r="L18">
        <v>354</v>
      </c>
    </row>
    <row r="19" spans="2:13" x14ac:dyDescent="0.25">
      <c r="B19" s="113" t="s">
        <v>12</v>
      </c>
      <c r="C19" s="113"/>
      <c r="D19" s="113"/>
      <c r="E19" s="113"/>
      <c r="F19" s="114">
        <f>SUM(F11:F18)</f>
        <v>16680000</v>
      </c>
      <c r="G19" s="115" t="s">
        <v>12</v>
      </c>
      <c r="H19" s="115"/>
      <c r="I19" s="115"/>
      <c r="J19" s="116">
        <f>SUM(J11:J18)</f>
        <v>4583000</v>
      </c>
      <c r="L19">
        <v>137</v>
      </c>
    </row>
    <row r="20" spans="2:13" ht="15.75" thickBot="1" x14ac:dyDescent="0.3">
      <c r="B20" s="113"/>
      <c r="C20" s="113"/>
      <c r="D20" s="113"/>
      <c r="E20" s="113"/>
      <c r="F20" s="114"/>
      <c r="G20" s="115"/>
      <c r="H20" s="115"/>
      <c r="I20" s="115"/>
      <c r="J20" s="116"/>
      <c r="L20">
        <v>182</v>
      </c>
    </row>
    <row r="21" spans="2:13" ht="15" customHeight="1" x14ac:dyDescent="0.25">
      <c r="B21" s="121" t="s">
        <v>449</v>
      </c>
      <c r="C21" s="121"/>
      <c r="D21" s="121"/>
      <c r="E21" s="121"/>
      <c r="F21" s="121"/>
      <c r="G21" s="121"/>
      <c r="H21" s="121"/>
      <c r="I21" s="121"/>
      <c r="J21" s="121"/>
      <c r="L21">
        <v>134</v>
      </c>
    </row>
    <row r="22" spans="2:13" x14ac:dyDescent="0.25">
      <c r="B22" s="122" t="s">
        <v>0</v>
      </c>
      <c r="C22" s="123" t="s">
        <v>1</v>
      </c>
      <c r="D22" s="123"/>
      <c r="E22" s="123"/>
      <c r="F22" s="123"/>
      <c r="G22" s="112" t="s">
        <v>2</v>
      </c>
      <c r="H22" s="112"/>
      <c r="I22" s="112"/>
      <c r="J22" s="112"/>
      <c r="L22">
        <v>638</v>
      </c>
      <c r="M22" t="s">
        <v>458</v>
      </c>
    </row>
    <row r="23" spans="2:13" x14ac:dyDescent="0.25">
      <c r="B23" s="122"/>
      <c r="C23" s="2" t="s">
        <v>3</v>
      </c>
      <c r="D23" s="3" t="s">
        <v>4</v>
      </c>
      <c r="E23" s="3" t="s">
        <v>5</v>
      </c>
      <c r="F23" s="3" t="s">
        <v>6</v>
      </c>
      <c r="G23" s="2" t="s">
        <v>3</v>
      </c>
      <c r="H23" s="3" t="s">
        <v>4</v>
      </c>
      <c r="I23" s="3" t="s">
        <v>5</v>
      </c>
      <c r="J23" s="4" t="s">
        <v>6</v>
      </c>
      <c r="L23">
        <v>200</v>
      </c>
    </row>
    <row r="24" spans="2:13" ht="30" customHeight="1" x14ac:dyDescent="0.25">
      <c r="B24" s="125" t="s">
        <v>13</v>
      </c>
      <c r="C24" s="5" t="s">
        <v>14</v>
      </c>
      <c r="D24" s="6">
        <v>1</v>
      </c>
      <c r="E24" s="7">
        <v>2000000</v>
      </c>
      <c r="F24" s="8">
        <f t="shared" ref="F24:F47" si="2">D24*E24</f>
        <v>2000000</v>
      </c>
      <c r="G24" s="9" t="s">
        <v>15</v>
      </c>
      <c r="H24" s="93">
        <v>1</v>
      </c>
      <c r="I24" s="7">
        <v>1088000</v>
      </c>
      <c r="J24" s="15">
        <f t="shared" ref="J24:J58" si="3">H24*I24</f>
        <v>1088000</v>
      </c>
    </row>
    <row r="25" spans="2:13" x14ac:dyDescent="0.25">
      <c r="B25" s="125"/>
      <c r="C25" s="11" t="s">
        <v>8</v>
      </c>
      <c r="D25" s="12">
        <v>15</v>
      </c>
      <c r="E25" s="13">
        <v>90000</v>
      </c>
      <c r="F25" s="8">
        <f t="shared" si="2"/>
        <v>1350000</v>
      </c>
      <c r="G25" s="17" t="s">
        <v>16</v>
      </c>
      <c r="H25" s="14">
        <v>2</v>
      </c>
      <c r="I25" s="18">
        <v>35000</v>
      </c>
      <c r="J25" s="15">
        <f t="shared" si="3"/>
        <v>70000</v>
      </c>
    </row>
    <row r="26" spans="2:13" x14ac:dyDescent="0.25">
      <c r="B26" s="125"/>
      <c r="C26" s="11"/>
      <c r="D26" s="12"/>
      <c r="E26" s="13"/>
      <c r="F26" s="8"/>
      <c r="G26" s="17" t="s">
        <v>86</v>
      </c>
      <c r="H26" s="14">
        <v>2</v>
      </c>
      <c r="I26" s="18">
        <v>45000</v>
      </c>
      <c r="J26" s="15">
        <f t="shared" si="3"/>
        <v>90000</v>
      </c>
    </row>
    <row r="27" spans="2:13" x14ac:dyDescent="0.25">
      <c r="B27" s="125"/>
      <c r="C27" s="5"/>
      <c r="D27" s="6"/>
      <c r="E27" s="7"/>
      <c r="F27" s="8">
        <f t="shared" si="2"/>
        <v>0</v>
      </c>
      <c r="G27" s="17" t="s">
        <v>17</v>
      </c>
      <c r="H27" s="14">
        <v>1</v>
      </c>
      <c r="I27" s="18">
        <v>1333</v>
      </c>
      <c r="J27" s="15">
        <f t="shared" si="3"/>
        <v>1333</v>
      </c>
    </row>
    <row r="28" spans="2:13" ht="15" customHeight="1" x14ac:dyDescent="0.25">
      <c r="B28" s="125"/>
      <c r="C28" s="11" t="s">
        <v>340</v>
      </c>
      <c r="D28" s="11">
        <v>1</v>
      </c>
      <c r="E28" s="8">
        <v>300000</v>
      </c>
      <c r="F28" s="8">
        <f t="shared" si="2"/>
        <v>300000</v>
      </c>
      <c r="G28" s="17" t="s">
        <v>18</v>
      </c>
      <c r="H28" s="14">
        <v>2</v>
      </c>
      <c r="I28" s="18">
        <v>32000</v>
      </c>
      <c r="J28" s="15">
        <f t="shared" si="3"/>
        <v>64000</v>
      </c>
    </row>
    <row r="29" spans="2:13" ht="15" customHeight="1" x14ac:dyDescent="0.25">
      <c r="B29" s="125"/>
      <c r="C29" s="11"/>
      <c r="D29" s="11"/>
      <c r="E29" s="11"/>
      <c r="F29" s="8"/>
      <c r="G29" s="17" t="s">
        <v>325</v>
      </c>
      <c r="H29" s="14">
        <v>1</v>
      </c>
      <c r="I29" s="18">
        <v>40000</v>
      </c>
      <c r="J29" s="15">
        <f t="shared" si="3"/>
        <v>40000</v>
      </c>
      <c r="L29">
        <f>SUM(L14:L28)</f>
        <v>2309</v>
      </c>
    </row>
    <row r="30" spans="2:13" x14ac:dyDescent="0.25">
      <c r="B30" s="125"/>
      <c r="C30" s="5"/>
      <c r="D30" s="6"/>
      <c r="E30" s="7"/>
      <c r="F30" s="8">
        <f t="shared" si="2"/>
        <v>0</v>
      </c>
      <c r="G30" s="17" t="s">
        <v>19</v>
      </c>
      <c r="H30" s="14">
        <v>1</v>
      </c>
      <c r="I30" s="18">
        <v>11000</v>
      </c>
      <c r="J30" s="15">
        <f t="shared" si="3"/>
        <v>11000</v>
      </c>
    </row>
    <row r="31" spans="2:13" x14ac:dyDescent="0.25">
      <c r="B31" s="125"/>
      <c r="C31" s="5"/>
      <c r="D31" s="6"/>
      <c r="E31" s="7"/>
      <c r="F31" s="8"/>
      <c r="G31" s="17" t="s">
        <v>88</v>
      </c>
      <c r="H31" s="14">
        <v>2</v>
      </c>
      <c r="I31" s="18">
        <v>13000</v>
      </c>
      <c r="J31" s="15">
        <f t="shared" si="3"/>
        <v>26000</v>
      </c>
    </row>
    <row r="32" spans="2:13" x14ac:dyDescent="0.25">
      <c r="B32" s="125"/>
      <c r="C32" s="5"/>
      <c r="D32" s="6"/>
      <c r="E32" s="7"/>
      <c r="F32" s="8"/>
      <c r="G32" s="17" t="s">
        <v>403</v>
      </c>
      <c r="H32" s="14">
        <v>3</v>
      </c>
      <c r="I32" s="18">
        <v>5900</v>
      </c>
      <c r="J32" s="15">
        <f t="shared" si="3"/>
        <v>17700</v>
      </c>
    </row>
    <row r="33" spans="2:12" x14ac:dyDescent="0.25">
      <c r="B33" s="125"/>
      <c r="C33" s="5"/>
      <c r="D33" s="6"/>
      <c r="E33" s="7"/>
      <c r="F33" s="8">
        <f t="shared" si="2"/>
        <v>0</v>
      </c>
      <c r="G33" s="17" t="s">
        <v>20</v>
      </c>
      <c r="H33" s="14">
        <v>2</v>
      </c>
      <c r="I33" s="18">
        <v>2000</v>
      </c>
      <c r="J33" s="15">
        <f t="shared" si="3"/>
        <v>4000</v>
      </c>
    </row>
    <row r="34" spans="2:12" x14ac:dyDescent="0.25">
      <c r="B34" s="125"/>
      <c r="C34" s="5"/>
      <c r="D34" s="6"/>
      <c r="E34" s="7"/>
      <c r="F34" s="8"/>
      <c r="G34" s="17" t="s">
        <v>79</v>
      </c>
      <c r="H34" s="14">
        <v>5</v>
      </c>
      <c r="I34" s="18">
        <v>5000</v>
      </c>
      <c r="J34" s="15">
        <f t="shared" si="3"/>
        <v>25000</v>
      </c>
    </row>
    <row r="35" spans="2:12" x14ac:dyDescent="0.25">
      <c r="B35" s="125"/>
      <c r="C35" s="5"/>
      <c r="D35" s="6"/>
      <c r="E35" s="7"/>
      <c r="F35" s="8">
        <f t="shared" si="2"/>
        <v>0</v>
      </c>
      <c r="G35" s="17" t="s">
        <v>21</v>
      </c>
      <c r="H35" s="14">
        <v>2</v>
      </c>
      <c r="I35" s="18">
        <v>1333</v>
      </c>
      <c r="J35" s="15">
        <f t="shared" si="3"/>
        <v>2666</v>
      </c>
    </row>
    <row r="36" spans="2:12" x14ac:dyDescent="0.25">
      <c r="B36" s="125"/>
      <c r="C36" s="5"/>
      <c r="D36" s="6"/>
      <c r="E36" s="7"/>
      <c r="F36" s="8">
        <f t="shared" si="2"/>
        <v>0</v>
      </c>
      <c r="G36" s="17" t="s">
        <v>22</v>
      </c>
      <c r="H36" s="19">
        <v>20</v>
      </c>
      <c r="I36" s="18">
        <v>4000</v>
      </c>
      <c r="J36" s="15">
        <f t="shared" si="3"/>
        <v>80000</v>
      </c>
    </row>
    <row r="37" spans="2:12" x14ac:dyDescent="0.25">
      <c r="B37" s="125"/>
      <c r="C37" s="5"/>
      <c r="D37" s="6"/>
      <c r="E37" s="7"/>
      <c r="F37" s="8"/>
      <c r="G37" s="17" t="s">
        <v>69</v>
      </c>
      <c r="H37" s="19">
        <v>3</v>
      </c>
      <c r="I37" s="18">
        <v>3000</v>
      </c>
      <c r="J37" s="15">
        <f t="shared" si="3"/>
        <v>9000</v>
      </c>
    </row>
    <row r="38" spans="2:12" x14ac:dyDescent="0.25">
      <c r="B38" s="125"/>
      <c r="C38" s="5"/>
      <c r="D38" s="6"/>
      <c r="E38" s="7"/>
      <c r="F38" s="8"/>
      <c r="G38" s="17" t="s">
        <v>23</v>
      </c>
      <c r="H38" s="14">
        <v>6</v>
      </c>
      <c r="I38" s="18">
        <v>2000</v>
      </c>
      <c r="J38" s="15">
        <f t="shared" si="3"/>
        <v>12000</v>
      </c>
    </row>
    <row r="39" spans="2:12" ht="15.75" x14ac:dyDescent="0.25">
      <c r="B39" s="125"/>
      <c r="C39" s="5"/>
      <c r="D39" s="6"/>
      <c r="E39" s="7"/>
      <c r="F39" s="8"/>
      <c r="G39" s="92" t="s">
        <v>358</v>
      </c>
      <c r="H39" s="14">
        <v>3</v>
      </c>
      <c r="I39" s="18"/>
      <c r="J39" s="15"/>
    </row>
    <row r="40" spans="2:12" ht="30" x14ac:dyDescent="0.25">
      <c r="B40" s="125"/>
      <c r="C40" s="5"/>
      <c r="D40" s="6"/>
      <c r="E40" s="7"/>
      <c r="F40" s="8">
        <f t="shared" si="2"/>
        <v>0</v>
      </c>
      <c r="G40" s="17" t="s">
        <v>24</v>
      </c>
      <c r="H40" s="19">
        <v>12</v>
      </c>
      <c r="I40" s="30">
        <v>146667</v>
      </c>
      <c r="J40" s="10">
        <f t="shared" si="3"/>
        <v>1760004</v>
      </c>
    </row>
    <row r="41" spans="2:12" ht="30" x14ac:dyDescent="0.25">
      <c r="B41" s="125"/>
      <c r="C41" s="5"/>
      <c r="D41" s="6"/>
      <c r="E41" s="7"/>
      <c r="F41" s="8"/>
      <c r="G41" s="17" t="s">
        <v>70</v>
      </c>
      <c r="H41" s="69">
        <v>2</v>
      </c>
      <c r="I41" s="30">
        <v>200000</v>
      </c>
      <c r="J41" s="10">
        <f t="shared" si="3"/>
        <v>400000</v>
      </c>
    </row>
    <row r="42" spans="2:12" x14ac:dyDescent="0.25">
      <c r="B42" s="125"/>
      <c r="C42" s="5"/>
      <c r="D42" s="6"/>
      <c r="E42" s="7"/>
      <c r="F42" s="8">
        <f t="shared" si="2"/>
        <v>0</v>
      </c>
      <c r="G42" s="17" t="s">
        <v>25</v>
      </c>
      <c r="H42" s="14">
        <v>7</v>
      </c>
      <c r="I42" s="18">
        <v>2000</v>
      </c>
      <c r="J42" s="15">
        <f t="shared" si="3"/>
        <v>14000</v>
      </c>
    </row>
    <row r="43" spans="2:12" x14ac:dyDescent="0.25">
      <c r="B43" s="125"/>
      <c r="C43" s="5"/>
      <c r="D43" s="6"/>
      <c r="E43" s="7"/>
      <c r="F43" s="8">
        <f t="shared" si="2"/>
        <v>0</v>
      </c>
      <c r="G43" s="17" t="s">
        <v>26</v>
      </c>
      <c r="H43" s="19">
        <v>4</v>
      </c>
      <c r="I43" s="18">
        <v>1333</v>
      </c>
      <c r="J43" s="15">
        <f t="shared" si="3"/>
        <v>5332</v>
      </c>
    </row>
    <row r="44" spans="2:12" x14ac:dyDescent="0.25">
      <c r="B44" s="125"/>
      <c r="C44" s="5"/>
      <c r="D44" s="6"/>
      <c r="E44" s="7"/>
      <c r="F44" s="8">
        <f t="shared" si="2"/>
        <v>0</v>
      </c>
      <c r="G44" s="17" t="s">
        <v>27</v>
      </c>
      <c r="H44" s="19">
        <v>8</v>
      </c>
      <c r="I44" s="18">
        <v>38000</v>
      </c>
      <c r="J44" s="15">
        <f t="shared" si="3"/>
        <v>304000</v>
      </c>
    </row>
    <row r="45" spans="2:12" x14ac:dyDescent="0.25">
      <c r="B45" s="125"/>
      <c r="C45" s="5"/>
      <c r="D45" s="6"/>
      <c r="E45" s="7"/>
      <c r="F45" s="8">
        <f t="shared" si="2"/>
        <v>0</v>
      </c>
      <c r="G45" s="17" t="s">
        <v>28</v>
      </c>
      <c r="H45" s="19">
        <v>11</v>
      </c>
      <c r="I45" s="18">
        <v>2700</v>
      </c>
      <c r="J45" s="15">
        <f t="shared" si="3"/>
        <v>29700</v>
      </c>
    </row>
    <row r="46" spans="2:12" x14ac:dyDescent="0.25">
      <c r="B46" s="125"/>
      <c r="C46" s="5"/>
      <c r="D46" s="6"/>
      <c r="E46" s="7"/>
      <c r="F46" s="8"/>
      <c r="G46" s="17" t="s">
        <v>402</v>
      </c>
      <c r="H46" s="19">
        <v>1</v>
      </c>
      <c r="I46" s="18">
        <v>2700</v>
      </c>
      <c r="J46" s="15">
        <f t="shared" si="3"/>
        <v>2700</v>
      </c>
    </row>
    <row r="47" spans="2:12" x14ac:dyDescent="0.25">
      <c r="B47" s="125"/>
      <c r="C47" s="5"/>
      <c r="D47" s="6"/>
      <c r="E47" s="7"/>
      <c r="F47" s="8">
        <f t="shared" si="2"/>
        <v>0</v>
      </c>
      <c r="G47" s="17" t="s">
        <v>80</v>
      </c>
      <c r="H47" s="14">
        <v>2</v>
      </c>
      <c r="I47" s="18">
        <v>16000</v>
      </c>
      <c r="J47" s="15">
        <f t="shared" si="3"/>
        <v>32000</v>
      </c>
      <c r="L47">
        <v>130</v>
      </c>
    </row>
    <row r="48" spans="2:12" x14ac:dyDescent="0.25">
      <c r="B48" s="125"/>
      <c r="C48" s="5"/>
      <c r="D48" s="6"/>
      <c r="E48" s="7"/>
      <c r="F48" s="8"/>
      <c r="G48" s="17" t="s">
        <v>29</v>
      </c>
      <c r="H48" s="14">
        <v>4</v>
      </c>
      <c r="I48" s="18">
        <v>533</v>
      </c>
      <c r="J48" s="15">
        <f t="shared" si="3"/>
        <v>2132</v>
      </c>
    </row>
    <row r="49" spans="2:12" x14ac:dyDescent="0.25">
      <c r="B49" s="125"/>
      <c r="C49" s="5"/>
      <c r="D49" s="6"/>
      <c r="E49" s="7"/>
      <c r="F49" s="8"/>
      <c r="G49" s="17" t="s">
        <v>30</v>
      </c>
      <c r="H49" s="14">
        <v>4</v>
      </c>
      <c r="I49" s="18">
        <v>533</v>
      </c>
      <c r="J49" s="15">
        <f t="shared" si="3"/>
        <v>2132</v>
      </c>
    </row>
    <row r="50" spans="2:12" x14ac:dyDescent="0.25">
      <c r="B50" s="125"/>
      <c r="C50" s="5"/>
      <c r="D50" s="6"/>
      <c r="E50" s="7"/>
      <c r="F50" s="8"/>
      <c r="G50" s="17" t="s">
        <v>326</v>
      </c>
      <c r="H50" s="14">
        <v>1</v>
      </c>
      <c r="I50" s="18">
        <v>5000</v>
      </c>
      <c r="J50" s="15">
        <f t="shared" si="3"/>
        <v>5000</v>
      </c>
    </row>
    <row r="51" spans="2:12" x14ac:dyDescent="0.25">
      <c r="B51" s="125"/>
      <c r="C51" s="5"/>
      <c r="D51" s="6"/>
      <c r="E51" s="7"/>
      <c r="F51" s="8"/>
      <c r="G51" s="17" t="s">
        <v>327</v>
      </c>
      <c r="H51" s="14">
        <v>1</v>
      </c>
      <c r="I51" s="18">
        <v>5000</v>
      </c>
      <c r="J51" s="15">
        <f t="shared" si="3"/>
        <v>5000</v>
      </c>
    </row>
    <row r="52" spans="2:12" x14ac:dyDescent="0.25">
      <c r="B52" s="125"/>
      <c r="C52" s="5"/>
      <c r="D52" s="6"/>
      <c r="E52" s="7"/>
      <c r="F52" s="8"/>
      <c r="G52" s="17" t="s">
        <v>328</v>
      </c>
      <c r="H52" s="14">
        <v>1</v>
      </c>
      <c r="I52" s="18">
        <v>3000</v>
      </c>
      <c r="J52" s="15">
        <f t="shared" si="3"/>
        <v>3000</v>
      </c>
    </row>
    <row r="53" spans="2:12" x14ac:dyDescent="0.25">
      <c r="B53" s="125"/>
      <c r="C53" s="5"/>
      <c r="D53" s="6"/>
      <c r="E53" s="7"/>
      <c r="F53" s="8"/>
      <c r="G53" s="17" t="s">
        <v>31</v>
      </c>
      <c r="H53" s="14">
        <v>4</v>
      </c>
      <c r="I53" s="18">
        <v>3000</v>
      </c>
      <c r="J53" s="15">
        <f t="shared" si="3"/>
        <v>12000</v>
      </c>
    </row>
    <row r="54" spans="2:12" x14ac:dyDescent="0.25">
      <c r="B54" s="125"/>
      <c r="C54" s="5"/>
      <c r="D54" s="6"/>
      <c r="E54" s="7"/>
      <c r="F54" s="8">
        <f>D54*E54</f>
        <v>0</v>
      </c>
      <c r="G54" s="17" t="s">
        <v>400</v>
      </c>
      <c r="H54" s="14">
        <v>10</v>
      </c>
      <c r="I54" s="18">
        <v>5333</v>
      </c>
      <c r="J54" s="15">
        <f t="shared" si="3"/>
        <v>53330</v>
      </c>
    </row>
    <row r="55" spans="2:12" x14ac:dyDescent="0.25">
      <c r="B55" s="125"/>
      <c r="C55" s="5"/>
      <c r="D55" s="6"/>
      <c r="E55" s="7"/>
      <c r="F55" s="8"/>
      <c r="G55" s="17" t="s">
        <v>32</v>
      </c>
      <c r="H55" s="14">
        <v>1</v>
      </c>
      <c r="I55" s="18">
        <v>160000</v>
      </c>
      <c r="J55" s="15">
        <f t="shared" si="3"/>
        <v>160000</v>
      </c>
    </row>
    <row r="56" spans="2:12" ht="15.75" customHeight="1" x14ac:dyDescent="0.25">
      <c r="B56" s="125"/>
      <c r="C56" s="5"/>
      <c r="D56" s="6"/>
      <c r="E56" s="7"/>
      <c r="F56" s="8"/>
      <c r="G56" s="16" t="s">
        <v>33</v>
      </c>
      <c r="H56" s="14">
        <v>2</v>
      </c>
      <c r="I56" s="18">
        <v>53333</v>
      </c>
      <c r="J56" s="15">
        <f t="shared" si="3"/>
        <v>106666</v>
      </c>
    </row>
    <row r="57" spans="2:12" ht="33" customHeight="1" x14ac:dyDescent="0.25">
      <c r="B57" s="125"/>
      <c r="C57" s="5"/>
      <c r="D57" s="6"/>
      <c r="E57" s="7"/>
      <c r="F57" s="8"/>
      <c r="G57" s="16" t="s">
        <v>78</v>
      </c>
      <c r="H57" s="14">
        <v>1</v>
      </c>
      <c r="I57" s="18">
        <v>3633300</v>
      </c>
      <c r="J57" s="15">
        <f t="shared" si="3"/>
        <v>3633300</v>
      </c>
    </row>
    <row r="58" spans="2:12" x14ac:dyDescent="0.25">
      <c r="B58" s="125"/>
      <c r="C58" s="5"/>
      <c r="D58" s="6"/>
      <c r="E58" s="7"/>
      <c r="F58" s="8"/>
      <c r="G58" s="17" t="s">
        <v>34</v>
      </c>
      <c r="H58" s="14">
        <v>20</v>
      </c>
      <c r="I58" s="18">
        <v>20000</v>
      </c>
      <c r="J58" s="15">
        <f t="shared" si="3"/>
        <v>400000</v>
      </c>
    </row>
    <row r="59" spans="2:12" x14ac:dyDescent="0.25">
      <c r="B59" s="113" t="s">
        <v>12</v>
      </c>
      <c r="C59" s="113"/>
      <c r="D59" s="113"/>
      <c r="E59" s="113"/>
      <c r="F59" s="114">
        <f>SUM(F24:F55)</f>
        <v>3650000</v>
      </c>
      <c r="G59" s="115" t="s">
        <v>12</v>
      </c>
      <c r="H59" s="115"/>
      <c r="I59" s="115"/>
      <c r="J59" s="116">
        <f>SUM(J24:J58)</f>
        <v>8470995</v>
      </c>
    </row>
    <row r="60" spans="2:12" ht="15.75" thickBot="1" x14ac:dyDescent="0.3">
      <c r="B60" s="113"/>
      <c r="C60" s="113"/>
      <c r="D60" s="113"/>
      <c r="E60" s="113"/>
      <c r="F60" s="114"/>
      <c r="G60" s="115"/>
      <c r="H60" s="115"/>
      <c r="I60" s="115"/>
      <c r="J60" s="116"/>
    </row>
    <row r="61" spans="2:12" ht="15" customHeight="1" x14ac:dyDescent="0.25">
      <c r="B61" s="121" t="s">
        <v>459</v>
      </c>
      <c r="C61" s="121"/>
      <c r="D61" s="121"/>
      <c r="E61" s="121"/>
      <c r="F61" s="121"/>
      <c r="G61" s="121"/>
      <c r="H61" s="121"/>
      <c r="I61" s="121"/>
      <c r="J61" s="121"/>
    </row>
    <row r="62" spans="2:12" x14ac:dyDescent="0.25">
      <c r="B62" s="122" t="s">
        <v>0</v>
      </c>
      <c r="C62" s="123" t="s">
        <v>1</v>
      </c>
      <c r="D62" s="123"/>
      <c r="E62" s="123"/>
      <c r="F62" s="123"/>
      <c r="G62" s="112" t="s">
        <v>2</v>
      </c>
      <c r="H62" s="112"/>
      <c r="I62" s="112"/>
      <c r="J62" s="112"/>
    </row>
    <row r="63" spans="2:12" x14ac:dyDescent="0.25">
      <c r="B63" s="122"/>
      <c r="C63" s="2" t="s">
        <v>3</v>
      </c>
      <c r="D63" s="3" t="s">
        <v>4</v>
      </c>
      <c r="E63" s="3" t="s">
        <v>5</v>
      </c>
      <c r="F63" s="3" t="s">
        <v>6</v>
      </c>
      <c r="G63" s="2" t="s">
        <v>3</v>
      </c>
      <c r="H63" s="3" t="s">
        <v>4</v>
      </c>
      <c r="I63" s="3" t="s">
        <v>5</v>
      </c>
      <c r="J63" s="4" t="s">
        <v>6</v>
      </c>
    </row>
    <row r="64" spans="2:12" x14ac:dyDescent="0.25">
      <c r="B64" s="2"/>
      <c r="C64" s="2"/>
      <c r="D64" s="3"/>
      <c r="E64" s="3"/>
      <c r="F64" s="21"/>
      <c r="G64" s="96" t="s">
        <v>420</v>
      </c>
      <c r="H64" s="72">
        <f>700/4</f>
        <v>175</v>
      </c>
      <c r="I64" s="18">
        <v>1500</v>
      </c>
      <c r="J64" s="15">
        <f t="shared" ref="J64:J74" si="4">H64*I64</f>
        <v>262500</v>
      </c>
      <c r="L64">
        <f>2300/3</f>
        <v>766.66666666666663</v>
      </c>
    </row>
    <row r="65" spans="2:12" x14ac:dyDescent="0.25">
      <c r="B65" s="20"/>
      <c r="C65" s="5" t="s">
        <v>8</v>
      </c>
      <c r="D65" s="6">
        <v>10</v>
      </c>
      <c r="E65" s="7">
        <v>90000</v>
      </c>
      <c r="F65" s="8">
        <f>D65*E65</f>
        <v>900000</v>
      </c>
      <c r="G65" s="97" t="s">
        <v>36</v>
      </c>
      <c r="H65" s="72">
        <f t="shared" ref="H65:H67" si="5">700/4</f>
        <v>175</v>
      </c>
      <c r="I65" s="18">
        <v>1500</v>
      </c>
      <c r="J65" s="15">
        <f t="shared" si="4"/>
        <v>262500</v>
      </c>
    </row>
    <row r="66" spans="2:12" x14ac:dyDescent="0.25">
      <c r="B66" s="20"/>
      <c r="C66" s="5"/>
      <c r="D66" s="6"/>
      <c r="E66" s="7"/>
      <c r="F66" s="8">
        <f t="shared" ref="F66" si="6">D66*E66</f>
        <v>0</v>
      </c>
      <c r="G66" s="97" t="s">
        <v>460</v>
      </c>
      <c r="H66" s="72">
        <f t="shared" si="5"/>
        <v>175</v>
      </c>
      <c r="I66" s="18">
        <v>1500</v>
      </c>
      <c r="J66" s="15">
        <f t="shared" si="4"/>
        <v>262500</v>
      </c>
    </row>
    <row r="67" spans="2:12" x14ac:dyDescent="0.25">
      <c r="B67" s="20"/>
      <c r="C67" s="5"/>
      <c r="D67" s="6"/>
      <c r="E67" s="7"/>
      <c r="F67" s="8"/>
      <c r="G67" s="17" t="s">
        <v>461</v>
      </c>
      <c r="H67" s="72">
        <f t="shared" si="5"/>
        <v>175</v>
      </c>
      <c r="I67" s="18">
        <v>1500</v>
      </c>
      <c r="J67" s="15">
        <f>H67*I67</f>
        <v>262500</v>
      </c>
    </row>
    <row r="68" spans="2:12" x14ac:dyDescent="0.25">
      <c r="B68" s="20"/>
      <c r="C68" s="5"/>
      <c r="D68" s="6"/>
      <c r="E68" s="7"/>
      <c r="F68" s="8"/>
      <c r="G68" s="97"/>
      <c r="H68" s="72"/>
      <c r="I68" s="18"/>
      <c r="J68" s="15"/>
      <c r="L68">
        <f>1800/3</f>
        <v>600</v>
      </c>
    </row>
    <row r="69" spans="2:12" x14ac:dyDescent="0.25">
      <c r="B69" s="20"/>
      <c r="C69" s="5"/>
      <c r="D69" s="6"/>
      <c r="E69" s="7"/>
      <c r="F69" s="8"/>
      <c r="G69" s="17"/>
      <c r="H69" s="72"/>
      <c r="I69" s="18"/>
      <c r="J69" s="15"/>
    </row>
    <row r="70" spans="2:12" x14ac:dyDescent="0.25">
      <c r="B70" s="20"/>
      <c r="C70" s="5"/>
      <c r="D70" s="6"/>
      <c r="E70" s="7"/>
      <c r="F70" s="8"/>
      <c r="G70" s="17"/>
      <c r="H70" s="29"/>
      <c r="I70" s="18"/>
      <c r="J70" s="15"/>
    </row>
    <row r="71" spans="2:12" x14ac:dyDescent="0.25">
      <c r="B71" s="20"/>
      <c r="C71" s="5"/>
      <c r="D71" s="6"/>
      <c r="E71" s="7"/>
      <c r="F71" s="8"/>
      <c r="G71" s="17"/>
      <c r="H71" s="29"/>
      <c r="I71" s="18"/>
      <c r="J71" s="15"/>
    </row>
    <row r="72" spans="2:12" x14ac:dyDescent="0.25">
      <c r="B72" s="20"/>
      <c r="C72" s="5"/>
      <c r="D72" s="6"/>
      <c r="E72" s="7"/>
      <c r="F72" s="8"/>
      <c r="G72" s="17"/>
      <c r="H72" s="29"/>
      <c r="I72" s="18"/>
      <c r="J72" s="15">
        <f t="shared" si="4"/>
        <v>0</v>
      </c>
    </row>
    <row r="73" spans="2:12" x14ac:dyDescent="0.25">
      <c r="B73" s="20"/>
      <c r="C73" s="5"/>
      <c r="D73" s="6"/>
      <c r="E73" s="7"/>
      <c r="F73" s="8"/>
      <c r="G73" s="17"/>
      <c r="H73" s="29"/>
      <c r="I73" s="18"/>
      <c r="J73" s="15">
        <f t="shared" si="4"/>
        <v>0</v>
      </c>
    </row>
    <row r="74" spans="2:12" x14ac:dyDescent="0.25">
      <c r="B74" s="22"/>
      <c r="C74" s="5"/>
      <c r="D74" s="6"/>
      <c r="E74" s="7"/>
      <c r="F74" s="8"/>
      <c r="J74" s="15">
        <f t="shared" si="4"/>
        <v>0</v>
      </c>
    </row>
    <row r="75" spans="2:12" x14ac:dyDescent="0.25">
      <c r="B75" s="113" t="s">
        <v>12</v>
      </c>
      <c r="C75" s="113"/>
      <c r="D75" s="113"/>
      <c r="E75" s="113"/>
      <c r="F75" s="114">
        <f>SUM(F65:F74)</f>
        <v>900000</v>
      </c>
      <c r="G75" s="115" t="s">
        <v>12</v>
      </c>
      <c r="H75" s="115"/>
      <c r="I75" s="115"/>
      <c r="J75" s="116">
        <f>SUM(J64:J74)</f>
        <v>1050000</v>
      </c>
    </row>
    <row r="76" spans="2:12" ht="15.75" thickBot="1" x14ac:dyDescent="0.3">
      <c r="B76" s="113"/>
      <c r="C76" s="113"/>
      <c r="D76" s="113"/>
      <c r="E76" s="113"/>
      <c r="F76" s="114"/>
      <c r="G76" s="115"/>
      <c r="H76" s="115"/>
      <c r="I76" s="115"/>
      <c r="J76" s="116"/>
    </row>
    <row r="77" spans="2:12" ht="14.85" customHeight="1" x14ac:dyDescent="0.25">
      <c r="B77" s="121" t="s">
        <v>452</v>
      </c>
      <c r="C77" s="121"/>
      <c r="D77" s="121"/>
      <c r="E77" s="121"/>
      <c r="F77" s="121"/>
      <c r="G77" s="121"/>
      <c r="H77" s="121"/>
      <c r="I77" s="121"/>
      <c r="J77" s="121"/>
    </row>
    <row r="78" spans="2:12" x14ac:dyDescent="0.25">
      <c r="B78" s="122" t="s">
        <v>0</v>
      </c>
      <c r="C78" s="123" t="s">
        <v>1</v>
      </c>
      <c r="D78" s="123"/>
      <c r="E78" s="123"/>
      <c r="F78" s="123"/>
      <c r="G78" s="112" t="s">
        <v>2</v>
      </c>
      <c r="H78" s="112"/>
      <c r="I78" s="112"/>
      <c r="J78" s="112"/>
    </row>
    <row r="79" spans="2:12" x14ac:dyDescent="0.25">
      <c r="B79" s="122"/>
      <c r="C79" s="2" t="s">
        <v>3</v>
      </c>
      <c r="D79" s="3" t="s">
        <v>4</v>
      </c>
      <c r="E79" s="3" t="s">
        <v>5</v>
      </c>
      <c r="F79" s="3" t="s">
        <v>6</v>
      </c>
      <c r="G79" s="2" t="s">
        <v>3</v>
      </c>
      <c r="H79" s="3" t="s">
        <v>4</v>
      </c>
      <c r="I79" s="3" t="s">
        <v>5</v>
      </c>
      <c r="J79" s="4" t="s">
        <v>6</v>
      </c>
    </row>
    <row r="80" spans="2:12" x14ac:dyDescent="0.25">
      <c r="B80" s="124"/>
      <c r="C80" s="5" t="s">
        <v>43</v>
      </c>
      <c r="D80" s="6">
        <v>200</v>
      </c>
      <c r="E80" s="7">
        <v>5000</v>
      </c>
      <c r="F80" s="8">
        <f t="shared" ref="F80:F102" si="7">D80*E80</f>
        <v>1000000</v>
      </c>
      <c r="G80" s="23" t="s">
        <v>42</v>
      </c>
      <c r="H80" s="6">
        <v>5</v>
      </c>
      <c r="I80" s="7">
        <v>15000</v>
      </c>
      <c r="J80" s="15">
        <f>H80*I80</f>
        <v>75000</v>
      </c>
      <c r="K80" t="s">
        <v>462</v>
      </c>
    </row>
    <row r="81" spans="1:10" x14ac:dyDescent="0.25">
      <c r="B81" s="124"/>
      <c r="C81" s="5" t="s">
        <v>45</v>
      </c>
      <c r="D81" s="12">
        <v>30</v>
      </c>
      <c r="E81" s="13">
        <v>2000</v>
      </c>
      <c r="F81" s="8">
        <f t="shared" si="7"/>
        <v>60000</v>
      </c>
      <c r="G81" s="23" t="s">
        <v>76</v>
      </c>
      <c r="H81" s="14">
        <v>10</v>
      </c>
      <c r="I81" s="7">
        <v>15000</v>
      </c>
      <c r="J81" s="15">
        <f t="shared" ref="J81:J113" si="8">H81*I81</f>
        <v>150000</v>
      </c>
    </row>
    <row r="82" spans="1:10" x14ac:dyDescent="0.25">
      <c r="B82" s="124"/>
      <c r="C82" s="5" t="s">
        <v>46</v>
      </c>
      <c r="D82" s="6">
        <v>100</v>
      </c>
      <c r="E82" s="7">
        <v>1000</v>
      </c>
      <c r="F82" s="8">
        <f t="shared" si="7"/>
        <v>100000</v>
      </c>
      <c r="G82" s="23" t="s">
        <v>47</v>
      </c>
      <c r="H82" s="14">
        <v>5</v>
      </c>
      <c r="I82" s="7">
        <v>15000</v>
      </c>
      <c r="J82" s="15">
        <f t="shared" si="8"/>
        <v>75000</v>
      </c>
    </row>
    <row r="83" spans="1:10" x14ac:dyDescent="0.25">
      <c r="A83">
        <v>540</v>
      </c>
      <c r="B83" s="124"/>
      <c r="C83" s="5"/>
      <c r="D83" s="14"/>
      <c r="E83" s="18">
        <v>5000</v>
      </c>
      <c r="F83" s="8">
        <f t="shared" si="7"/>
        <v>0</v>
      </c>
      <c r="G83" s="23" t="s">
        <v>52</v>
      </c>
      <c r="H83" s="14">
        <v>10</v>
      </c>
      <c r="I83" s="18">
        <v>15000</v>
      </c>
      <c r="J83" s="15">
        <f t="shared" si="8"/>
        <v>150000</v>
      </c>
    </row>
    <row r="84" spans="1:10" x14ac:dyDescent="0.25">
      <c r="B84" s="124"/>
      <c r="C84" s="5"/>
      <c r="D84" s="6"/>
      <c r="E84" s="7"/>
      <c r="F84" s="8">
        <f t="shared" si="7"/>
        <v>0</v>
      </c>
      <c r="G84" s="23" t="s">
        <v>50</v>
      </c>
      <c r="H84" s="14">
        <v>10</v>
      </c>
      <c r="I84" s="18">
        <v>15000</v>
      </c>
      <c r="J84" s="15">
        <f t="shared" si="8"/>
        <v>150000</v>
      </c>
    </row>
    <row r="85" spans="1:10" x14ac:dyDescent="0.25">
      <c r="B85" s="124"/>
      <c r="C85" s="11"/>
      <c r="D85" s="12"/>
      <c r="E85" s="7"/>
      <c r="F85" s="8">
        <f t="shared" si="7"/>
        <v>0</v>
      </c>
      <c r="G85" s="11" t="s">
        <v>54</v>
      </c>
      <c r="H85" s="12">
        <v>5</v>
      </c>
      <c r="I85" s="18">
        <v>8000</v>
      </c>
      <c r="J85" s="15">
        <f t="shared" si="8"/>
        <v>40000</v>
      </c>
    </row>
    <row r="86" spans="1:10" x14ac:dyDescent="0.25">
      <c r="B86" s="124"/>
      <c r="C86" s="5"/>
      <c r="D86" s="1"/>
      <c r="E86" s="7"/>
      <c r="F86" s="8">
        <f t="shared" si="7"/>
        <v>0</v>
      </c>
      <c r="G86" s="23" t="s">
        <v>441</v>
      </c>
      <c r="H86" s="14">
        <v>10</v>
      </c>
      <c r="I86" s="18">
        <v>8000</v>
      </c>
      <c r="J86" s="15">
        <f>H85*I86</f>
        <v>40000</v>
      </c>
    </row>
    <row r="87" spans="1:10" x14ac:dyDescent="0.25">
      <c r="B87" s="124"/>
      <c r="C87" s="5"/>
      <c r="D87" s="6"/>
      <c r="E87" s="7"/>
      <c r="F87" s="8">
        <f t="shared" si="7"/>
        <v>0</v>
      </c>
      <c r="G87" s="11" t="s">
        <v>71</v>
      </c>
      <c r="H87" s="6">
        <v>10</v>
      </c>
      <c r="I87" s="18">
        <v>8000</v>
      </c>
      <c r="J87" s="15">
        <f>H86*I87</f>
        <v>80000</v>
      </c>
    </row>
    <row r="88" spans="1:10" x14ac:dyDescent="0.25">
      <c r="B88" s="124"/>
      <c r="C88" s="5"/>
      <c r="D88" s="6"/>
      <c r="E88" s="7"/>
      <c r="F88" s="8">
        <f t="shared" si="7"/>
        <v>0</v>
      </c>
      <c r="G88" s="11" t="s">
        <v>53</v>
      </c>
      <c r="H88" s="103">
        <v>10</v>
      </c>
      <c r="I88" s="18">
        <v>8000</v>
      </c>
      <c r="J88" s="15">
        <f t="shared" ref="J88:J89" si="9">H87*I88</f>
        <v>80000</v>
      </c>
    </row>
    <row r="89" spans="1:10" x14ac:dyDescent="0.25">
      <c r="B89" s="124"/>
      <c r="C89" s="5"/>
      <c r="D89" s="6"/>
      <c r="E89" s="7"/>
      <c r="F89" s="8">
        <f t="shared" si="7"/>
        <v>0</v>
      </c>
      <c r="G89" s="11" t="s">
        <v>425</v>
      </c>
      <c r="H89" s="12">
        <v>15</v>
      </c>
      <c r="I89" s="18">
        <v>5000</v>
      </c>
      <c r="J89" s="15">
        <f t="shared" si="9"/>
        <v>50000</v>
      </c>
    </row>
    <row r="90" spans="1:10" x14ac:dyDescent="0.25">
      <c r="B90" s="124"/>
      <c r="C90" s="5"/>
      <c r="D90" s="6"/>
      <c r="E90" s="7"/>
      <c r="F90" s="8"/>
      <c r="G90" s="11" t="s">
        <v>51</v>
      </c>
      <c r="H90" s="12">
        <v>10</v>
      </c>
      <c r="I90" s="11"/>
      <c r="J90" s="15"/>
    </row>
    <row r="91" spans="1:10" x14ac:dyDescent="0.25">
      <c r="B91" s="124"/>
      <c r="C91" s="5"/>
      <c r="D91" s="6"/>
      <c r="E91" s="7"/>
      <c r="F91" s="8"/>
      <c r="G91" s="11"/>
      <c r="H91" s="11"/>
      <c r="I91" s="11"/>
      <c r="J91" s="15"/>
    </row>
    <row r="92" spans="1:10" x14ac:dyDescent="0.25">
      <c r="B92" s="124"/>
      <c r="C92" s="5"/>
      <c r="D92" s="6"/>
      <c r="E92" s="7"/>
      <c r="F92" s="8"/>
      <c r="G92" s="11"/>
      <c r="H92" s="11"/>
      <c r="I92" s="11"/>
      <c r="J92" s="15"/>
    </row>
    <row r="93" spans="1:10" x14ac:dyDescent="0.25">
      <c r="B93" s="124"/>
      <c r="C93" s="5"/>
      <c r="D93" s="6"/>
      <c r="E93" s="7"/>
      <c r="F93" s="8">
        <f t="shared" si="7"/>
        <v>0</v>
      </c>
      <c r="G93" s="23"/>
      <c r="H93" s="94"/>
      <c r="I93" s="18"/>
      <c r="J93" s="15"/>
    </row>
    <row r="94" spans="1:10" x14ac:dyDescent="0.25">
      <c r="B94" s="124"/>
      <c r="C94" s="5"/>
      <c r="D94" s="6"/>
      <c r="E94" s="7"/>
      <c r="F94" s="8">
        <f t="shared" si="7"/>
        <v>0</v>
      </c>
      <c r="G94" s="23" t="s">
        <v>55</v>
      </c>
      <c r="H94" s="14">
        <v>1</v>
      </c>
      <c r="I94" s="18">
        <v>194000</v>
      </c>
      <c r="J94" s="15">
        <f t="shared" si="8"/>
        <v>194000</v>
      </c>
    </row>
    <row r="95" spans="1:10" x14ac:dyDescent="0.25">
      <c r="B95" s="124"/>
      <c r="C95" s="5"/>
      <c r="D95" s="6"/>
      <c r="E95" s="7"/>
      <c r="F95" s="8">
        <f t="shared" si="7"/>
        <v>0</v>
      </c>
      <c r="G95" s="23" t="s">
        <v>56</v>
      </c>
      <c r="H95" s="94">
        <v>2</v>
      </c>
      <c r="I95" s="18">
        <v>8667</v>
      </c>
      <c r="J95" s="15">
        <f t="shared" si="8"/>
        <v>17334</v>
      </c>
    </row>
    <row r="96" spans="1:10" x14ac:dyDescent="0.25">
      <c r="B96" s="124"/>
      <c r="C96" s="5"/>
      <c r="D96" s="6"/>
      <c r="E96" s="7"/>
      <c r="F96" s="8">
        <f t="shared" si="7"/>
        <v>0</v>
      </c>
      <c r="G96" s="23" t="s">
        <v>57</v>
      </c>
      <c r="H96" s="94">
        <v>2</v>
      </c>
      <c r="I96" s="18">
        <v>13333</v>
      </c>
      <c r="J96" s="15">
        <f t="shared" si="8"/>
        <v>26666</v>
      </c>
    </row>
    <row r="97" spans="2:12" x14ac:dyDescent="0.25">
      <c r="B97" s="124"/>
      <c r="C97" s="99"/>
      <c r="D97" s="93"/>
      <c r="E97" s="7"/>
      <c r="F97" s="8">
        <f t="shared" si="7"/>
        <v>0</v>
      </c>
      <c r="G97" s="23" t="s">
        <v>67</v>
      </c>
      <c r="H97" s="94">
        <v>1</v>
      </c>
      <c r="I97" s="18">
        <v>42667</v>
      </c>
      <c r="J97" s="15">
        <f t="shared" si="8"/>
        <v>42667</v>
      </c>
    </row>
    <row r="98" spans="2:12" x14ac:dyDescent="0.25">
      <c r="B98" s="124"/>
      <c r="C98" s="5"/>
      <c r="D98" s="6"/>
      <c r="E98" s="7"/>
      <c r="F98" s="8">
        <f t="shared" si="7"/>
        <v>0</v>
      </c>
      <c r="G98" s="23" t="s">
        <v>68</v>
      </c>
      <c r="H98" s="94">
        <v>1</v>
      </c>
      <c r="I98" s="18">
        <v>13333</v>
      </c>
      <c r="J98" s="15">
        <f t="shared" si="8"/>
        <v>13333</v>
      </c>
    </row>
    <row r="99" spans="2:12" x14ac:dyDescent="0.25">
      <c r="B99" s="124"/>
      <c r="C99" s="5"/>
      <c r="D99" s="6"/>
      <c r="E99" s="7"/>
      <c r="F99" s="8">
        <f t="shared" si="7"/>
        <v>0</v>
      </c>
      <c r="G99" s="23" t="s">
        <v>90</v>
      </c>
      <c r="H99" s="94">
        <v>1</v>
      </c>
      <c r="I99" s="18">
        <v>7333</v>
      </c>
      <c r="J99" s="15">
        <f t="shared" si="8"/>
        <v>7333</v>
      </c>
    </row>
    <row r="100" spans="2:12" x14ac:dyDescent="0.25">
      <c r="B100" s="124"/>
      <c r="C100" s="5"/>
      <c r="D100" s="6"/>
      <c r="E100" s="7"/>
      <c r="F100" s="8">
        <f t="shared" si="7"/>
        <v>0</v>
      </c>
      <c r="G100" s="23" t="s">
        <v>82</v>
      </c>
      <c r="H100" s="94">
        <v>1</v>
      </c>
      <c r="I100" s="18">
        <v>12000</v>
      </c>
      <c r="J100" s="15">
        <f t="shared" si="8"/>
        <v>12000</v>
      </c>
    </row>
    <row r="101" spans="2:12" x14ac:dyDescent="0.25">
      <c r="B101" s="124"/>
      <c r="C101" s="5"/>
      <c r="D101" s="6"/>
      <c r="E101" s="7"/>
      <c r="F101" s="8">
        <f t="shared" si="7"/>
        <v>0</v>
      </c>
      <c r="G101" s="23" t="s">
        <v>58</v>
      </c>
      <c r="H101" s="94">
        <v>2</v>
      </c>
      <c r="I101" s="18">
        <v>7333</v>
      </c>
      <c r="J101" s="15">
        <f t="shared" si="8"/>
        <v>14666</v>
      </c>
      <c r="L101">
        <v>29</v>
      </c>
    </row>
    <row r="102" spans="2:12" x14ac:dyDescent="0.25">
      <c r="B102" s="124"/>
      <c r="C102" s="5"/>
      <c r="D102" s="6"/>
      <c r="E102" s="7"/>
      <c r="F102" s="8">
        <f t="shared" si="7"/>
        <v>0</v>
      </c>
      <c r="G102" s="23" t="s">
        <v>91</v>
      </c>
      <c r="H102" s="94">
        <v>2</v>
      </c>
      <c r="I102" s="18">
        <v>18000</v>
      </c>
      <c r="J102" s="15">
        <f t="shared" si="8"/>
        <v>36000</v>
      </c>
    </row>
    <row r="103" spans="2:12" x14ac:dyDescent="0.25">
      <c r="B103" s="124"/>
      <c r="C103" s="5"/>
      <c r="D103" s="6"/>
      <c r="E103" s="7"/>
      <c r="F103" s="8"/>
      <c r="G103" s="23" t="s">
        <v>89</v>
      </c>
      <c r="H103" s="94">
        <v>1</v>
      </c>
      <c r="I103" s="18">
        <v>70000</v>
      </c>
      <c r="J103" s="15">
        <f t="shared" si="8"/>
        <v>70000</v>
      </c>
    </row>
    <row r="104" spans="2:12" x14ac:dyDescent="0.25">
      <c r="B104" s="124"/>
      <c r="C104" s="5"/>
      <c r="D104" s="6"/>
      <c r="E104" s="7"/>
      <c r="F104" s="8"/>
      <c r="G104" s="11" t="s">
        <v>83</v>
      </c>
      <c r="H104" s="12">
        <v>1</v>
      </c>
      <c r="I104" s="18">
        <v>70000</v>
      </c>
      <c r="J104" s="15">
        <f t="shared" si="8"/>
        <v>70000</v>
      </c>
    </row>
    <row r="105" spans="2:12" x14ac:dyDescent="0.25">
      <c r="B105" s="124"/>
      <c r="C105" s="5"/>
      <c r="D105" s="6"/>
      <c r="E105" s="7"/>
      <c r="F105" s="8"/>
      <c r="G105" s="11" t="s">
        <v>84</v>
      </c>
      <c r="H105" s="12">
        <v>1</v>
      </c>
      <c r="I105" s="18">
        <v>12000</v>
      </c>
      <c r="J105" s="15">
        <f t="shared" si="8"/>
        <v>12000</v>
      </c>
    </row>
    <row r="106" spans="2:12" x14ac:dyDescent="0.25">
      <c r="B106" s="124"/>
      <c r="C106" s="5" t="s">
        <v>8</v>
      </c>
      <c r="D106" s="14">
        <v>5</v>
      </c>
      <c r="E106" s="18">
        <v>5000</v>
      </c>
      <c r="F106" s="8"/>
      <c r="G106" s="23" t="s">
        <v>59</v>
      </c>
      <c r="H106" s="14">
        <v>2</v>
      </c>
      <c r="I106" s="18">
        <v>16000</v>
      </c>
      <c r="J106" s="15">
        <f t="shared" si="8"/>
        <v>32000</v>
      </c>
    </row>
    <row r="107" spans="2:12" x14ac:dyDescent="0.25">
      <c r="B107" s="124"/>
      <c r="C107" s="5"/>
      <c r="D107" s="6"/>
      <c r="E107" s="7"/>
      <c r="F107" s="8"/>
      <c r="G107" s="23" t="s">
        <v>60</v>
      </c>
      <c r="H107" s="14">
        <v>1</v>
      </c>
      <c r="I107" s="18">
        <v>40000</v>
      </c>
      <c r="J107" s="15">
        <f t="shared" si="8"/>
        <v>40000</v>
      </c>
    </row>
    <row r="108" spans="2:12" x14ac:dyDescent="0.25">
      <c r="B108" s="124"/>
      <c r="C108" s="11"/>
      <c r="D108" s="11"/>
      <c r="E108" s="11"/>
      <c r="F108" s="8"/>
      <c r="G108" s="11" t="s">
        <v>61</v>
      </c>
      <c r="H108" s="6">
        <v>3</v>
      </c>
      <c r="I108" s="18">
        <v>42000</v>
      </c>
      <c r="J108" s="15">
        <f t="shared" si="8"/>
        <v>126000</v>
      </c>
    </row>
    <row r="109" spans="2:12" x14ac:dyDescent="0.25">
      <c r="B109" s="24"/>
      <c r="C109" s="11"/>
      <c r="D109" s="11"/>
      <c r="E109" s="11"/>
      <c r="F109" s="8"/>
      <c r="G109" s="11" t="s">
        <v>62</v>
      </c>
      <c r="H109" s="6">
        <v>1</v>
      </c>
      <c r="I109" s="18">
        <v>40000</v>
      </c>
      <c r="J109" s="15">
        <f t="shared" si="8"/>
        <v>40000</v>
      </c>
    </row>
    <row r="110" spans="2:12" x14ac:dyDescent="0.25">
      <c r="B110" s="24"/>
      <c r="C110" s="11"/>
      <c r="D110" s="11"/>
      <c r="E110" s="11"/>
      <c r="F110" s="8"/>
      <c r="G110" s="11" t="s">
        <v>87</v>
      </c>
      <c r="H110" s="6">
        <v>1</v>
      </c>
      <c r="I110" s="18">
        <v>80000</v>
      </c>
      <c r="J110" s="15">
        <f t="shared" si="8"/>
        <v>80000</v>
      </c>
    </row>
    <row r="111" spans="2:12" x14ac:dyDescent="0.25">
      <c r="B111" s="24"/>
      <c r="C111" s="11"/>
      <c r="D111" s="11"/>
      <c r="E111" s="11"/>
      <c r="F111" s="8"/>
      <c r="G111" s="11" t="s">
        <v>63</v>
      </c>
      <c r="H111" s="6">
        <v>1</v>
      </c>
      <c r="I111" s="18">
        <v>70000</v>
      </c>
      <c r="J111" s="15">
        <f t="shared" si="8"/>
        <v>70000</v>
      </c>
    </row>
    <row r="112" spans="2:12" x14ac:dyDescent="0.25">
      <c r="B112" s="24"/>
      <c r="C112" s="74"/>
      <c r="D112" s="74"/>
      <c r="E112" s="74"/>
      <c r="F112" s="8"/>
      <c r="G112" s="11" t="s">
        <v>338</v>
      </c>
      <c r="H112" s="6">
        <v>2</v>
      </c>
      <c r="I112" s="18">
        <v>40000</v>
      </c>
      <c r="J112" s="15">
        <f t="shared" si="8"/>
        <v>80000</v>
      </c>
    </row>
    <row r="113" spans="2:10" x14ac:dyDescent="0.25">
      <c r="B113" s="24"/>
      <c r="C113" s="74"/>
      <c r="D113" s="74"/>
      <c r="E113" s="74"/>
      <c r="F113" s="8"/>
      <c r="G113" s="11" t="s">
        <v>85</v>
      </c>
      <c r="H113" s="6">
        <v>2</v>
      </c>
      <c r="I113" s="18">
        <v>50000</v>
      </c>
      <c r="J113" s="15">
        <f t="shared" si="8"/>
        <v>100000</v>
      </c>
    </row>
    <row r="114" spans="2:10" x14ac:dyDescent="0.25">
      <c r="B114" s="24"/>
      <c r="C114" s="74"/>
      <c r="D114" s="74"/>
      <c r="E114" s="74"/>
      <c r="F114" s="8"/>
      <c r="G114" s="11" t="s">
        <v>339</v>
      </c>
      <c r="H114" s="6"/>
      <c r="I114" s="18"/>
      <c r="J114" s="15"/>
    </row>
    <row r="115" spans="2:10" x14ac:dyDescent="0.25">
      <c r="B115" s="113" t="s">
        <v>12</v>
      </c>
      <c r="C115" s="113"/>
      <c r="D115" s="113"/>
      <c r="E115" s="113"/>
      <c r="F115" s="114">
        <f>SUM(F80:F108)</f>
        <v>1160000</v>
      </c>
      <c r="G115" s="115" t="s">
        <v>12</v>
      </c>
      <c r="H115" s="115"/>
      <c r="I115" s="115"/>
      <c r="J115" s="116">
        <f>SUM(J80:J114)</f>
        <v>1973999</v>
      </c>
    </row>
    <row r="116" spans="2:10" ht="15.75" thickBot="1" x14ac:dyDescent="0.3">
      <c r="B116" s="113"/>
      <c r="C116" s="113"/>
      <c r="D116" s="113"/>
      <c r="E116" s="113"/>
      <c r="F116" s="114"/>
      <c r="G116" s="115"/>
      <c r="H116" s="115"/>
      <c r="I116" s="115"/>
      <c r="J116" s="116"/>
    </row>
    <row r="117" spans="2:10" x14ac:dyDescent="0.25">
      <c r="B117" s="121" t="s">
        <v>464</v>
      </c>
      <c r="C117" s="121"/>
      <c r="D117" s="121"/>
      <c r="E117" s="121"/>
      <c r="F117" s="121"/>
      <c r="G117" s="121"/>
      <c r="H117" s="121"/>
      <c r="I117" s="121"/>
      <c r="J117" s="121"/>
    </row>
    <row r="118" spans="2:10" x14ac:dyDescent="0.25">
      <c r="B118" s="122" t="s">
        <v>0</v>
      </c>
      <c r="C118" s="123" t="s">
        <v>1</v>
      </c>
      <c r="D118" s="123"/>
      <c r="E118" s="123"/>
      <c r="F118" s="123"/>
      <c r="G118" s="112" t="s">
        <v>2</v>
      </c>
      <c r="H118" s="112"/>
      <c r="I118" s="112"/>
      <c r="J118" s="112"/>
    </row>
    <row r="119" spans="2:10" x14ac:dyDescent="0.25">
      <c r="B119" s="122"/>
      <c r="C119" s="2" t="s">
        <v>3</v>
      </c>
      <c r="D119" s="3" t="s">
        <v>4</v>
      </c>
      <c r="E119" s="3" t="s">
        <v>5</v>
      </c>
      <c r="F119" s="3" t="s">
        <v>6</v>
      </c>
      <c r="G119" s="2" t="s">
        <v>3</v>
      </c>
      <c r="H119" s="3" t="s">
        <v>4</v>
      </c>
      <c r="I119" s="3" t="s">
        <v>5</v>
      </c>
      <c r="J119" s="4" t="s">
        <v>6</v>
      </c>
    </row>
    <row r="120" spans="2:10" x14ac:dyDescent="0.25">
      <c r="B120" s="2"/>
      <c r="C120" s="100" t="s">
        <v>75</v>
      </c>
      <c r="D120" s="6">
        <v>80</v>
      </c>
      <c r="E120" s="7">
        <v>30000</v>
      </c>
      <c r="F120" s="8">
        <f>D120*E120</f>
        <v>2400000</v>
      </c>
      <c r="G120" s="71" t="s">
        <v>463</v>
      </c>
      <c r="H120" s="72">
        <v>72</v>
      </c>
      <c r="I120" s="18">
        <v>1500</v>
      </c>
      <c r="J120" s="15">
        <f t="shared" ref="J120:J122" si="10">H120*I120</f>
        <v>108000</v>
      </c>
    </row>
    <row r="121" spans="2:10" x14ac:dyDescent="0.25">
      <c r="B121" s="20"/>
      <c r="C121" s="5" t="s">
        <v>8</v>
      </c>
      <c r="D121" s="6">
        <v>10</v>
      </c>
      <c r="E121" s="7">
        <v>90000</v>
      </c>
      <c r="F121" s="8">
        <f>D121*E121</f>
        <v>900000</v>
      </c>
      <c r="G121" s="73" t="s">
        <v>36</v>
      </c>
      <c r="H121" s="72">
        <v>72</v>
      </c>
      <c r="I121" s="18">
        <v>1500</v>
      </c>
      <c r="J121" s="15">
        <f t="shared" si="10"/>
        <v>108000</v>
      </c>
    </row>
    <row r="122" spans="2:10" x14ac:dyDescent="0.25">
      <c r="B122" s="20"/>
      <c r="C122" s="5"/>
      <c r="D122" s="6"/>
      <c r="E122" s="7"/>
      <c r="F122" s="8">
        <f t="shared" ref="F122:F124" si="11">D122*E122</f>
        <v>0</v>
      </c>
      <c r="G122" s="73" t="s">
        <v>411</v>
      </c>
      <c r="H122" s="72">
        <v>72</v>
      </c>
      <c r="I122" s="18">
        <v>1500</v>
      </c>
      <c r="J122" s="15">
        <f t="shared" si="10"/>
        <v>108000</v>
      </c>
    </row>
    <row r="123" spans="2:10" x14ac:dyDescent="0.25">
      <c r="B123" s="20"/>
      <c r="C123" s="5" t="s">
        <v>337</v>
      </c>
      <c r="D123" s="6">
        <v>200</v>
      </c>
      <c r="E123" s="7">
        <v>1500</v>
      </c>
      <c r="F123" s="8">
        <f t="shared" si="11"/>
        <v>300000</v>
      </c>
      <c r="G123" s="73" t="s">
        <v>331</v>
      </c>
      <c r="H123" s="72">
        <v>72</v>
      </c>
      <c r="I123" s="18">
        <v>1500</v>
      </c>
      <c r="J123" s="15">
        <f>H123*I123</f>
        <v>108000</v>
      </c>
    </row>
    <row r="124" spans="2:10" x14ac:dyDescent="0.25">
      <c r="B124" s="20"/>
      <c r="C124" s="98"/>
      <c r="D124" s="6"/>
      <c r="E124" s="7"/>
      <c r="F124" s="8">
        <f t="shared" si="11"/>
        <v>0</v>
      </c>
      <c r="G124" s="73" t="s">
        <v>330</v>
      </c>
      <c r="H124" s="72">
        <v>72</v>
      </c>
      <c r="I124" s="18">
        <v>1500</v>
      </c>
      <c r="J124" s="15">
        <f>H124*I124</f>
        <v>108000</v>
      </c>
    </row>
    <row r="125" spans="2:10" x14ac:dyDescent="0.25">
      <c r="B125" s="20"/>
      <c r="C125" s="5"/>
      <c r="D125" s="6"/>
      <c r="E125" s="7"/>
      <c r="F125" s="8"/>
      <c r="G125" s="73" t="s">
        <v>420</v>
      </c>
      <c r="H125" s="72">
        <v>72</v>
      </c>
      <c r="I125" s="18">
        <v>1500</v>
      </c>
      <c r="J125" s="15">
        <f>H125*I125</f>
        <v>108000</v>
      </c>
    </row>
    <row r="126" spans="2:10" x14ac:dyDescent="0.25">
      <c r="B126" s="20"/>
      <c r="C126" s="5"/>
      <c r="D126" s="6"/>
      <c r="E126" s="7"/>
      <c r="F126" s="8"/>
      <c r="G126" s="73" t="s">
        <v>422</v>
      </c>
      <c r="H126" s="72">
        <v>72</v>
      </c>
      <c r="I126" s="18">
        <v>1500</v>
      </c>
      <c r="J126" s="15">
        <f t="shared" ref="J126:J127" si="12">H126*I126</f>
        <v>108000</v>
      </c>
    </row>
    <row r="127" spans="2:10" x14ac:dyDescent="0.25">
      <c r="B127" s="20"/>
      <c r="C127" s="5"/>
      <c r="D127" s="6"/>
      <c r="E127" s="7"/>
      <c r="F127" s="8"/>
      <c r="G127" s="73" t="s">
        <v>50</v>
      </c>
      <c r="H127" s="29">
        <v>72</v>
      </c>
      <c r="I127" s="18">
        <v>10000</v>
      </c>
      <c r="J127" s="15">
        <f t="shared" si="12"/>
        <v>720000</v>
      </c>
    </row>
    <row r="128" spans="2:10" x14ac:dyDescent="0.25">
      <c r="G128" s="105" t="s">
        <v>445</v>
      </c>
      <c r="H128" s="29">
        <v>72</v>
      </c>
    </row>
    <row r="129" spans="2:10" x14ac:dyDescent="0.25">
      <c r="B129" s="113" t="s">
        <v>12</v>
      </c>
      <c r="C129" s="113"/>
      <c r="D129" s="113"/>
      <c r="E129" s="113"/>
      <c r="F129" s="114">
        <f>SUM(F120:F127)</f>
        <v>3600000</v>
      </c>
      <c r="G129" s="115" t="s">
        <v>12</v>
      </c>
      <c r="H129" s="115"/>
      <c r="I129" s="115"/>
      <c r="J129" s="116">
        <f>SUM(J120:J128)</f>
        <v>1476000</v>
      </c>
    </row>
    <row r="130" spans="2:10" x14ac:dyDescent="0.25">
      <c r="B130" s="113"/>
      <c r="C130" s="113"/>
      <c r="D130" s="113"/>
      <c r="E130" s="113"/>
      <c r="F130" s="114"/>
      <c r="G130" s="115"/>
      <c r="H130" s="115"/>
      <c r="I130" s="115"/>
      <c r="J130" s="116"/>
    </row>
    <row r="131" spans="2:10" ht="15.75" thickBot="1" x14ac:dyDescent="0.3">
      <c r="B131" s="117" t="s">
        <v>64</v>
      </c>
      <c r="C131" s="117"/>
      <c r="D131" s="117"/>
      <c r="E131" s="117"/>
      <c r="F131" s="118">
        <f>SUM(F115+F75+F59+F19)</f>
        <v>22390000</v>
      </c>
      <c r="G131" s="119" t="s">
        <v>64</v>
      </c>
      <c r="H131" s="119"/>
      <c r="I131" s="119"/>
      <c r="J131" s="120">
        <f>SUM(J115+J75+J19+J59+J129)</f>
        <v>17553994</v>
      </c>
    </row>
    <row r="132" spans="2:10" ht="15.75" thickBot="1" x14ac:dyDescent="0.3">
      <c r="B132" s="117"/>
      <c r="C132" s="117"/>
      <c r="D132" s="117"/>
      <c r="E132" s="117"/>
      <c r="F132" s="118"/>
      <c r="G132" s="119"/>
      <c r="H132" s="119"/>
      <c r="I132" s="119"/>
      <c r="J132" s="120"/>
    </row>
    <row r="137" spans="2:10" x14ac:dyDescent="0.25">
      <c r="H137" s="104"/>
    </row>
  </sheetData>
  <mergeCells count="49">
    <mergeCell ref="B21:J21"/>
    <mergeCell ref="B1:J6"/>
    <mergeCell ref="B7:J7"/>
    <mergeCell ref="B8:J8"/>
    <mergeCell ref="B9:B10"/>
    <mergeCell ref="C9:F9"/>
    <mergeCell ref="G9:J9"/>
    <mergeCell ref="B11:B18"/>
    <mergeCell ref="B19:E20"/>
    <mergeCell ref="F19:F20"/>
    <mergeCell ref="G19:I20"/>
    <mergeCell ref="J19:J20"/>
    <mergeCell ref="B22:B23"/>
    <mergeCell ref="C22:F22"/>
    <mergeCell ref="G22:J22"/>
    <mergeCell ref="B24:B58"/>
    <mergeCell ref="B59:E60"/>
    <mergeCell ref="F59:F60"/>
    <mergeCell ref="G59:I60"/>
    <mergeCell ref="J59:J60"/>
    <mergeCell ref="B77:J77"/>
    <mergeCell ref="B78:B79"/>
    <mergeCell ref="C78:F78"/>
    <mergeCell ref="G78:J78"/>
    <mergeCell ref="B80:B108"/>
    <mergeCell ref="B61:J61"/>
    <mergeCell ref="B62:B63"/>
    <mergeCell ref="C62:F62"/>
    <mergeCell ref="G62:J62"/>
    <mergeCell ref="B75:E76"/>
    <mergeCell ref="F75:F76"/>
    <mergeCell ref="G75:I76"/>
    <mergeCell ref="J75:J76"/>
    <mergeCell ref="G115:I116"/>
    <mergeCell ref="B131:E132"/>
    <mergeCell ref="F131:F132"/>
    <mergeCell ref="G131:I132"/>
    <mergeCell ref="J131:J132"/>
    <mergeCell ref="B117:J117"/>
    <mergeCell ref="B118:B119"/>
    <mergeCell ref="C118:F118"/>
    <mergeCell ref="G118:J118"/>
    <mergeCell ref="B129:E130"/>
    <mergeCell ref="F129:F130"/>
    <mergeCell ref="G129:I130"/>
    <mergeCell ref="J129:J130"/>
    <mergeCell ref="J115:J116"/>
    <mergeCell ref="B115:E116"/>
    <mergeCell ref="F115:F1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A209-0167-4660-B795-D858892977BD}">
  <dimension ref="A1:P134"/>
  <sheetViews>
    <sheetView topLeftCell="A108" workbookViewId="0">
      <selection activeCell="I86" sqref="I86"/>
    </sheetView>
  </sheetViews>
  <sheetFormatPr baseColWidth="10" defaultColWidth="10.5703125" defaultRowHeight="15" x14ac:dyDescent="0.25"/>
  <cols>
    <col min="2" max="2" width="20.28515625" customWidth="1"/>
    <col min="3" max="3" width="27" customWidth="1"/>
    <col min="5" max="5" width="13.140625" customWidth="1"/>
    <col min="6" max="6" width="14.28515625" customWidth="1"/>
    <col min="7" max="7" width="42.7109375" bestFit="1" customWidth="1"/>
    <col min="8" max="8" width="13" bestFit="1" customWidth="1"/>
    <col min="9" max="9" width="12" customWidth="1"/>
    <col min="10" max="10" width="16.5703125" customWidth="1"/>
    <col min="13" max="13" width="14.5703125" customWidth="1"/>
  </cols>
  <sheetData>
    <row r="1" spans="2:16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6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6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6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6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6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</row>
    <row r="7" spans="2:16" ht="15.75" thickBot="1" x14ac:dyDescent="0.3">
      <c r="B7" s="127" t="s">
        <v>474</v>
      </c>
      <c r="C7" s="127"/>
      <c r="D7" s="127"/>
      <c r="E7" s="127"/>
      <c r="F7" s="127"/>
      <c r="G7" s="127"/>
      <c r="H7" s="127"/>
      <c r="I7" s="127"/>
      <c r="J7" s="127"/>
    </row>
    <row r="8" spans="2:16" ht="22.5" customHeight="1" x14ac:dyDescent="0.25">
      <c r="B8" s="121" t="s">
        <v>457</v>
      </c>
      <c r="C8" s="121"/>
      <c r="D8" s="121"/>
      <c r="E8" s="121"/>
      <c r="F8" s="121"/>
      <c r="G8" s="121"/>
      <c r="H8" s="121"/>
      <c r="I8" s="121"/>
      <c r="J8" s="121"/>
    </row>
    <row r="9" spans="2:16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6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</row>
    <row r="11" spans="2:16" ht="30" x14ac:dyDescent="0.25">
      <c r="B11" s="124"/>
      <c r="C11" s="5" t="s">
        <v>75</v>
      </c>
      <c r="D11" s="26">
        <v>500</v>
      </c>
      <c r="E11" s="7">
        <v>30000</v>
      </c>
      <c r="F11" s="8">
        <f>D11*E11</f>
        <v>15000000</v>
      </c>
      <c r="G11" s="9" t="s">
        <v>7</v>
      </c>
      <c r="H11" s="19">
        <v>5</v>
      </c>
      <c r="I11" s="32">
        <v>270000</v>
      </c>
      <c r="J11" s="10">
        <f t="shared" ref="J11:J16" si="0">H11*I11</f>
        <v>1350000</v>
      </c>
      <c r="K11">
        <v>1226</v>
      </c>
      <c r="L11" t="s">
        <v>442</v>
      </c>
      <c r="O11">
        <f>K11/7</f>
        <v>175.14285714285714</v>
      </c>
    </row>
    <row r="12" spans="2:16" x14ac:dyDescent="0.25">
      <c r="B12" s="124"/>
      <c r="C12" s="11"/>
      <c r="D12" s="25"/>
      <c r="E12" s="13"/>
      <c r="F12" s="8"/>
      <c r="G12" s="9" t="s">
        <v>9</v>
      </c>
      <c r="H12" s="19">
        <v>2</v>
      </c>
      <c r="I12" s="27">
        <v>35000</v>
      </c>
      <c r="J12" s="15">
        <f t="shared" si="0"/>
        <v>70000</v>
      </c>
    </row>
    <row r="13" spans="2:16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19">
        <v>30</v>
      </c>
      <c r="I13" s="27">
        <v>5000</v>
      </c>
      <c r="J13" s="15">
        <f t="shared" si="0"/>
        <v>150000</v>
      </c>
      <c r="L13">
        <v>111</v>
      </c>
      <c r="N13">
        <f>K11*2</f>
        <v>2452</v>
      </c>
    </row>
    <row r="14" spans="2:16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19">
        <v>2</v>
      </c>
      <c r="I14" s="27">
        <v>60000</v>
      </c>
      <c r="J14" s="15">
        <f t="shared" si="0"/>
        <v>120000</v>
      </c>
      <c r="L14">
        <f>165*2</f>
        <v>330</v>
      </c>
      <c r="M14" t="s">
        <v>475</v>
      </c>
      <c r="P14">
        <f>D11*2</f>
        <v>1000</v>
      </c>
    </row>
    <row r="15" spans="2:16" x14ac:dyDescent="0.25">
      <c r="B15" s="124"/>
      <c r="C15" s="5"/>
      <c r="D15" s="6"/>
      <c r="E15" s="7"/>
      <c r="F15" s="8">
        <f t="shared" ref="F15:F18" si="1">D15*E15</f>
        <v>0</v>
      </c>
      <c r="G15" s="16" t="s">
        <v>65</v>
      </c>
      <c r="H15" s="19">
        <v>10</v>
      </c>
      <c r="I15" s="27">
        <v>38000</v>
      </c>
      <c r="J15" s="15">
        <f t="shared" si="0"/>
        <v>380000</v>
      </c>
      <c r="K15" s="33"/>
      <c r="L15">
        <v>138</v>
      </c>
    </row>
    <row r="16" spans="2:16" ht="16.5" x14ac:dyDescent="0.3">
      <c r="B16" s="124"/>
      <c r="C16" s="68"/>
      <c r="D16" s="6"/>
      <c r="E16" s="81"/>
      <c r="F16" s="8">
        <f t="shared" si="1"/>
        <v>0</v>
      </c>
      <c r="G16" s="17" t="s">
        <v>66</v>
      </c>
      <c r="H16" s="19">
        <v>10</v>
      </c>
      <c r="I16" s="28">
        <v>6000</v>
      </c>
      <c r="J16" s="15">
        <f t="shared" si="0"/>
        <v>60000</v>
      </c>
      <c r="L16">
        <v>121</v>
      </c>
    </row>
    <row r="17" spans="2:15" ht="16.5" x14ac:dyDescent="0.3">
      <c r="B17" s="124"/>
      <c r="C17" s="5"/>
      <c r="D17" s="6"/>
      <c r="E17" s="7"/>
      <c r="F17" s="8">
        <f t="shared" si="1"/>
        <v>0</v>
      </c>
      <c r="G17" s="68"/>
      <c r="H17" s="19"/>
      <c r="I17" s="44"/>
      <c r="J17" s="15"/>
      <c r="L17">
        <v>106</v>
      </c>
    </row>
    <row r="18" spans="2:15" ht="15.75" x14ac:dyDescent="0.25">
      <c r="B18" s="124"/>
      <c r="C18" s="5"/>
      <c r="D18" s="6"/>
      <c r="E18" s="7"/>
      <c r="F18" s="8">
        <f t="shared" si="1"/>
        <v>0</v>
      </c>
      <c r="G18" s="102"/>
      <c r="H18" s="19"/>
      <c r="I18" s="28"/>
      <c r="J18" s="15"/>
      <c r="K18" s="33"/>
      <c r="L18">
        <f>210*2</f>
        <v>420</v>
      </c>
      <c r="M18" t="s">
        <v>476</v>
      </c>
      <c r="N18">
        <v>223</v>
      </c>
      <c r="O18">
        <f>N18*4</f>
        <v>892</v>
      </c>
    </row>
    <row r="19" spans="2:15" x14ac:dyDescent="0.25">
      <c r="B19" s="113" t="s">
        <v>12</v>
      </c>
      <c r="C19" s="113"/>
      <c r="D19" s="113"/>
      <c r="E19" s="113"/>
      <c r="F19" s="114">
        <f>SUM(F11:F18)</f>
        <v>15000000</v>
      </c>
      <c r="G19" s="115" t="s">
        <v>12</v>
      </c>
      <c r="H19" s="115"/>
      <c r="I19" s="115"/>
      <c r="J19" s="116">
        <f>SUM(J11:J18)</f>
        <v>2130000</v>
      </c>
      <c r="M19" t="s">
        <v>477</v>
      </c>
    </row>
    <row r="20" spans="2:15" ht="15.75" thickBot="1" x14ac:dyDescent="0.3">
      <c r="B20" s="113"/>
      <c r="C20" s="113"/>
      <c r="D20" s="113"/>
      <c r="E20" s="113"/>
      <c r="F20" s="114"/>
      <c r="G20" s="115"/>
      <c r="H20" s="115"/>
      <c r="I20" s="115"/>
      <c r="J20" s="116"/>
      <c r="L20">
        <f>SUM(L13:L19)</f>
        <v>1226</v>
      </c>
    </row>
    <row r="21" spans="2:15" ht="15" customHeight="1" x14ac:dyDescent="0.25">
      <c r="B21" s="121" t="s">
        <v>478</v>
      </c>
      <c r="C21" s="121"/>
      <c r="D21" s="121"/>
      <c r="E21" s="121"/>
      <c r="F21" s="121"/>
      <c r="G21" s="121"/>
      <c r="H21" s="121"/>
      <c r="I21" s="121"/>
      <c r="J21" s="121"/>
    </row>
    <row r="22" spans="2:15" x14ac:dyDescent="0.25">
      <c r="B22" s="122" t="s">
        <v>0</v>
      </c>
      <c r="C22" s="123" t="s">
        <v>1</v>
      </c>
      <c r="D22" s="123"/>
      <c r="E22" s="123"/>
      <c r="F22" s="123"/>
      <c r="G22" s="112" t="s">
        <v>2</v>
      </c>
      <c r="H22" s="112"/>
      <c r="I22" s="112"/>
      <c r="J22" s="112"/>
    </row>
    <row r="23" spans="2:15" x14ac:dyDescent="0.25">
      <c r="B23" s="122"/>
      <c r="C23" s="2" t="s">
        <v>3</v>
      </c>
      <c r="D23" s="3" t="s">
        <v>4</v>
      </c>
      <c r="E23" s="3" t="s">
        <v>5</v>
      </c>
      <c r="F23" s="3" t="s">
        <v>6</v>
      </c>
      <c r="G23" s="2" t="s">
        <v>3</v>
      </c>
      <c r="H23" s="3" t="s">
        <v>4</v>
      </c>
      <c r="I23" s="3" t="s">
        <v>5</v>
      </c>
      <c r="J23" s="4" t="s">
        <v>6</v>
      </c>
    </row>
    <row r="24" spans="2:15" ht="30" customHeight="1" x14ac:dyDescent="0.25">
      <c r="B24" s="125" t="s">
        <v>13</v>
      </c>
      <c r="C24" s="5" t="s">
        <v>14</v>
      </c>
      <c r="D24" s="6">
        <v>1</v>
      </c>
      <c r="E24" s="7">
        <v>2000000</v>
      </c>
      <c r="F24" s="8">
        <f t="shared" ref="F24:F47" si="2">D24*E24</f>
        <v>2000000</v>
      </c>
      <c r="G24" s="9" t="s">
        <v>15</v>
      </c>
      <c r="H24" s="93">
        <v>1</v>
      </c>
      <c r="I24" s="7">
        <v>1088000</v>
      </c>
      <c r="J24" s="15">
        <f t="shared" ref="J24:J58" si="3">H24*I24</f>
        <v>1088000</v>
      </c>
    </row>
    <row r="25" spans="2:15" x14ac:dyDescent="0.25">
      <c r="B25" s="125"/>
      <c r="C25" s="11" t="s">
        <v>8</v>
      </c>
      <c r="D25" s="12">
        <v>15</v>
      </c>
      <c r="E25" s="13">
        <v>90000</v>
      </c>
      <c r="F25" s="8">
        <f t="shared" si="2"/>
        <v>1350000</v>
      </c>
      <c r="G25" s="17" t="s">
        <v>16</v>
      </c>
      <c r="H25" s="14">
        <v>2</v>
      </c>
      <c r="I25" s="18">
        <v>35000</v>
      </c>
      <c r="J25" s="15">
        <f t="shared" si="3"/>
        <v>70000</v>
      </c>
    </row>
    <row r="26" spans="2:15" x14ac:dyDescent="0.25">
      <c r="B26" s="125"/>
      <c r="C26" s="11"/>
      <c r="D26" s="12"/>
      <c r="E26" s="13"/>
      <c r="F26" s="8"/>
      <c r="G26" s="17" t="s">
        <v>86</v>
      </c>
      <c r="H26" s="14">
        <v>2</v>
      </c>
      <c r="I26" s="18">
        <v>45000</v>
      </c>
      <c r="J26" s="15">
        <f t="shared" si="3"/>
        <v>90000</v>
      </c>
    </row>
    <row r="27" spans="2:15" x14ac:dyDescent="0.25">
      <c r="B27" s="125"/>
      <c r="C27" s="5"/>
      <c r="D27" s="6"/>
      <c r="E27" s="7"/>
      <c r="F27" s="8">
        <f t="shared" si="2"/>
        <v>0</v>
      </c>
      <c r="G27" s="17" t="s">
        <v>17</v>
      </c>
      <c r="H27" s="14">
        <v>1</v>
      </c>
      <c r="I27" s="18">
        <v>1333</v>
      </c>
      <c r="J27" s="15">
        <f t="shared" si="3"/>
        <v>1333</v>
      </c>
    </row>
    <row r="28" spans="2:15" ht="15" customHeight="1" x14ac:dyDescent="0.25">
      <c r="B28" s="125"/>
      <c r="C28" s="11" t="s">
        <v>340</v>
      </c>
      <c r="D28" s="11">
        <v>1</v>
      </c>
      <c r="E28" s="8">
        <v>300000</v>
      </c>
      <c r="F28" s="8">
        <f t="shared" si="2"/>
        <v>300000</v>
      </c>
      <c r="G28" s="17" t="s">
        <v>18</v>
      </c>
      <c r="H28" s="14">
        <v>2</v>
      </c>
      <c r="I28" s="18">
        <v>32000</v>
      </c>
      <c r="J28" s="15">
        <f t="shared" si="3"/>
        <v>64000</v>
      </c>
    </row>
    <row r="29" spans="2:15" ht="15" customHeight="1" x14ac:dyDescent="0.25">
      <c r="B29" s="125"/>
      <c r="C29" s="11"/>
      <c r="D29" s="11"/>
      <c r="E29" s="11"/>
      <c r="F29" s="8"/>
      <c r="G29" s="17" t="s">
        <v>325</v>
      </c>
      <c r="H29" s="14">
        <v>1</v>
      </c>
      <c r="I29" s="18">
        <v>40000</v>
      </c>
      <c r="J29" s="15">
        <f t="shared" si="3"/>
        <v>40000</v>
      </c>
      <c r="L29">
        <f>SUM(L14:L28)</f>
        <v>2341</v>
      </c>
    </row>
    <row r="30" spans="2:15" x14ac:dyDescent="0.25">
      <c r="B30" s="125"/>
      <c r="C30" s="5"/>
      <c r="D30" s="6"/>
      <c r="E30" s="7"/>
      <c r="F30" s="8">
        <f t="shared" si="2"/>
        <v>0</v>
      </c>
      <c r="G30" s="17" t="s">
        <v>19</v>
      </c>
      <c r="H30" s="14">
        <v>1</v>
      </c>
      <c r="I30" s="18">
        <v>11000</v>
      </c>
      <c r="J30" s="15">
        <f t="shared" si="3"/>
        <v>11000</v>
      </c>
    </row>
    <row r="31" spans="2:15" x14ac:dyDescent="0.25">
      <c r="B31" s="125"/>
      <c r="C31" s="5"/>
      <c r="D31" s="6"/>
      <c r="E31" s="7"/>
      <c r="F31" s="8"/>
      <c r="G31" s="17" t="s">
        <v>88</v>
      </c>
      <c r="H31" s="14">
        <v>2</v>
      </c>
      <c r="I31" s="18">
        <v>13000</v>
      </c>
      <c r="J31" s="15">
        <f t="shared" si="3"/>
        <v>26000</v>
      </c>
    </row>
    <row r="32" spans="2:15" x14ac:dyDescent="0.25">
      <c r="B32" s="125"/>
      <c r="C32" s="5"/>
      <c r="D32" s="6"/>
      <c r="E32" s="7"/>
      <c r="F32" s="8"/>
      <c r="G32" s="17" t="s">
        <v>403</v>
      </c>
      <c r="H32" s="14">
        <v>3</v>
      </c>
      <c r="I32" s="18">
        <v>5900</v>
      </c>
      <c r="J32" s="15">
        <f t="shared" si="3"/>
        <v>17700</v>
      </c>
    </row>
    <row r="33" spans="2:12" x14ac:dyDescent="0.25">
      <c r="B33" s="125"/>
      <c r="C33" s="5"/>
      <c r="D33" s="6"/>
      <c r="E33" s="7"/>
      <c r="F33" s="8">
        <f t="shared" si="2"/>
        <v>0</v>
      </c>
      <c r="G33" s="17" t="s">
        <v>20</v>
      </c>
      <c r="H33" s="14">
        <v>2</v>
      </c>
      <c r="I33" s="18">
        <v>2000</v>
      </c>
      <c r="J33" s="15">
        <f t="shared" si="3"/>
        <v>4000</v>
      </c>
    </row>
    <row r="34" spans="2:12" x14ac:dyDescent="0.25">
      <c r="B34" s="125"/>
      <c r="C34" s="5"/>
      <c r="D34" s="6"/>
      <c r="E34" s="7"/>
      <c r="F34" s="8"/>
      <c r="G34" s="17" t="s">
        <v>79</v>
      </c>
      <c r="H34" s="14">
        <v>5</v>
      </c>
      <c r="I34" s="18">
        <v>5000</v>
      </c>
      <c r="J34" s="15">
        <f t="shared" si="3"/>
        <v>25000</v>
      </c>
    </row>
    <row r="35" spans="2:12" x14ac:dyDescent="0.25">
      <c r="B35" s="125"/>
      <c r="C35" s="5"/>
      <c r="D35" s="6"/>
      <c r="E35" s="7"/>
      <c r="F35" s="8">
        <f t="shared" si="2"/>
        <v>0</v>
      </c>
      <c r="G35" s="17" t="s">
        <v>21</v>
      </c>
      <c r="H35" s="14">
        <v>2</v>
      </c>
      <c r="I35" s="18">
        <v>1333</v>
      </c>
      <c r="J35" s="15">
        <f t="shared" si="3"/>
        <v>2666</v>
      </c>
    </row>
    <row r="36" spans="2:12" x14ac:dyDescent="0.25">
      <c r="B36" s="125"/>
      <c r="C36" s="5"/>
      <c r="D36" s="6"/>
      <c r="E36" s="7"/>
      <c r="F36" s="8">
        <f t="shared" si="2"/>
        <v>0</v>
      </c>
      <c r="G36" s="17" t="s">
        <v>22</v>
      </c>
      <c r="H36" s="19">
        <v>18</v>
      </c>
      <c r="I36" s="18">
        <v>4000</v>
      </c>
      <c r="J36" s="15">
        <f t="shared" si="3"/>
        <v>72000</v>
      </c>
    </row>
    <row r="37" spans="2:12" x14ac:dyDescent="0.25">
      <c r="B37" s="125"/>
      <c r="C37" s="5"/>
      <c r="D37" s="6"/>
      <c r="E37" s="7"/>
      <c r="F37" s="8"/>
      <c r="G37" s="17" t="s">
        <v>69</v>
      </c>
      <c r="H37" s="19">
        <v>2</v>
      </c>
      <c r="I37" s="18">
        <v>3000</v>
      </c>
      <c r="J37" s="15">
        <f t="shared" si="3"/>
        <v>6000</v>
      </c>
    </row>
    <row r="38" spans="2:12" x14ac:dyDescent="0.25">
      <c r="B38" s="125"/>
      <c r="C38" s="5"/>
      <c r="D38" s="6"/>
      <c r="E38" s="7"/>
      <c r="F38" s="8"/>
      <c r="G38" s="17" t="s">
        <v>23</v>
      </c>
      <c r="H38" s="14">
        <v>6</v>
      </c>
      <c r="I38" s="18">
        <v>2000</v>
      </c>
      <c r="J38" s="15">
        <f t="shared" si="3"/>
        <v>12000</v>
      </c>
    </row>
    <row r="39" spans="2:12" ht="15.75" x14ac:dyDescent="0.25">
      <c r="B39" s="125"/>
      <c r="C39" s="5"/>
      <c r="D39" s="6"/>
      <c r="E39" s="7"/>
      <c r="F39" s="8"/>
      <c r="G39" s="92" t="s">
        <v>358</v>
      </c>
      <c r="H39" s="14">
        <v>3</v>
      </c>
      <c r="I39" s="18"/>
      <c r="J39" s="15"/>
    </row>
    <row r="40" spans="2:12" ht="30" x14ac:dyDescent="0.25">
      <c r="B40" s="125"/>
      <c r="C40" s="5"/>
      <c r="D40" s="6"/>
      <c r="E40" s="7"/>
      <c r="F40" s="8">
        <f t="shared" si="2"/>
        <v>0</v>
      </c>
      <c r="G40" s="17" t="s">
        <v>24</v>
      </c>
      <c r="H40" s="19">
        <v>8</v>
      </c>
      <c r="I40" s="30">
        <v>146667</v>
      </c>
      <c r="J40" s="10">
        <f t="shared" si="3"/>
        <v>1173336</v>
      </c>
    </row>
    <row r="41" spans="2:12" ht="30" x14ac:dyDescent="0.25">
      <c r="B41" s="125"/>
      <c r="C41" s="5"/>
      <c r="D41" s="6"/>
      <c r="E41" s="7"/>
      <c r="F41" s="8"/>
      <c r="G41" s="17" t="s">
        <v>70</v>
      </c>
      <c r="H41" s="69">
        <v>2</v>
      </c>
      <c r="I41" s="30">
        <v>200000</v>
      </c>
      <c r="J41" s="10">
        <f t="shared" si="3"/>
        <v>400000</v>
      </c>
    </row>
    <row r="42" spans="2:12" x14ac:dyDescent="0.25">
      <c r="B42" s="125"/>
      <c r="C42" s="5"/>
      <c r="D42" s="6"/>
      <c r="E42" s="7"/>
      <c r="F42" s="8">
        <f t="shared" si="2"/>
        <v>0</v>
      </c>
      <c r="G42" s="17" t="s">
        <v>25</v>
      </c>
      <c r="H42" s="14">
        <v>7</v>
      </c>
      <c r="I42" s="18">
        <v>2000</v>
      </c>
      <c r="J42" s="15">
        <f t="shared" si="3"/>
        <v>14000</v>
      </c>
    </row>
    <row r="43" spans="2:12" x14ac:dyDescent="0.25">
      <c r="B43" s="125"/>
      <c r="C43" s="5"/>
      <c r="D43" s="6"/>
      <c r="E43" s="7"/>
      <c r="F43" s="8">
        <f t="shared" si="2"/>
        <v>0</v>
      </c>
      <c r="G43" s="17" t="s">
        <v>26</v>
      </c>
      <c r="H43" s="19">
        <v>3</v>
      </c>
      <c r="I43" s="18">
        <v>1333</v>
      </c>
      <c r="J43" s="15">
        <f t="shared" si="3"/>
        <v>3999</v>
      </c>
    </row>
    <row r="44" spans="2:12" x14ac:dyDescent="0.25">
      <c r="B44" s="125"/>
      <c r="C44" s="5"/>
      <c r="D44" s="6"/>
      <c r="E44" s="7"/>
      <c r="F44" s="8">
        <f t="shared" si="2"/>
        <v>0</v>
      </c>
      <c r="G44" s="17" t="s">
        <v>27</v>
      </c>
      <c r="H44" s="19">
        <v>6</v>
      </c>
      <c r="I44" s="18">
        <v>38000</v>
      </c>
      <c r="J44" s="15">
        <f t="shared" si="3"/>
        <v>228000</v>
      </c>
    </row>
    <row r="45" spans="2:12" x14ac:dyDescent="0.25">
      <c r="B45" s="125"/>
      <c r="C45" s="5"/>
      <c r="D45" s="6"/>
      <c r="E45" s="7"/>
      <c r="F45" s="8">
        <f t="shared" si="2"/>
        <v>0</v>
      </c>
      <c r="G45" s="17" t="s">
        <v>28</v>
      </c>
      <c r="H45" s="19">
        <v>7</v>
      </c>
      <c r="I45" s="18">
        <v>2700</v>
      </c>
      <c r="J45" s="15">
        <f t="shared" si="3"/>
        <v>18900</v>
      </c>
    </row>
    <row r="46" spans="2:12" x14ac:dyDescent="0.25">
      <c r="B46" s="125"/>
      <c r="C46" s="5"/>
      <c r="D46" s="6"/>
      <c r="E46" s="7"/>
      <c r="F46" s="8"/>
      <c r="G46" s="17" t="s">
        <v>402</v>
      </c>
      <c r="H46" s="19">
        <v>1</v>
      </c>
      <c r="I46" s="18">
        <v>2700</v>
      </c>
      <c r="J46" s="15">
        <f t="shared" si="3"/>
        <v>2700</v>
      </c>
    </row>
    <row r="47" spans="2:12" x14ac:dyDescent="0.25">
      <c r="B47" s="125"/>
      <c r="C47" s="5"/>
      <c r="D47" s="6"/>
      <c r="E47" s="7"/>
      <c r="F47" s="8">
        <f t="shared" si="2"/>
        <v>0</v>
      </c>
      <c r="G47" s="17" t="s">
        <v>80</v>
      </c>
      <c r="H47" s="14">
        <v>2</v>
      </c>
      <c r="I47" s="18">
        <v>16000</v>
      </c>
      <c r="J47" s="15">
        <f t="shared" si="3"/>
        <v>32000</v>
      </c>
      <c r="L47">
        <v>130</v>
      </c>
    </row>
    <row r="48" spans="2:12" x14ac:dyDescent="0.25">
      <c r="B48" s="125"/>
      <c r="C48" s="5"/>
      <c r="D48" s="6"/>
      <c r="E48" s="7"/>
      <c r="F48" s="8"/>
      <c r="G48" s="17" t="s">
        <v>29</v>
      </c>
      <c r="H48" s="14">
        <v>4</v>
      </c>
      <c r="I48" s="18">
        <v>533</v>
      </c>
      <c r="J48" s="15">
        <f t="shared" si="3"/>
        <v>2132</v>
      </c>
    </row>
    <row r="49" spans="2:12" x14ac:dyDescent="0.25">
      <c r="B49" s="125"/>
      <c r="C49" s="5"/>
      <c r="D49" s="6"/>
      <c r="E49" s="7"/>
      <c r="F49" s="8"/>
      <c r="G49" s="17" t="s">
        <v>30</v>
      </c>
      <c r="H49" s="14">
        <v>4</v>
      </c>
      <c r="I49" s="18">
        <v>533</v>
      </c>
      <c r="J49" s="15">
        <f t="shared" si="3"/>
        <v>2132</v>
      </c>
    </row>
    <row r="50" spans="2:12" x14ac:dyDescent="0.25">
      <c r="B50" s="125"/>
      <c r="C50" s="5"/>
      <c r="D50" s="6"/>
      <c r="E50" s="7"/>
      <c r="F50" s="8"/>
      <c r="G50" s="17" t="s">
        <v>326</v>
      </c>
      <c r="H50" s="14">
        <v>1</v>
      </c>
      <c r="I50" s="18">
        <v>5000</v>
      </c>
      <c r="J50" s="15">
        <f t="shared" si="3"/>
        <v>5000</v>
      </c>
    </row>
    <row r="51" spans="2:12" x14ac:dyDescent="0.25">
      <c r="B51" s="125"/>
      <c r="C51" s="5"/>
      <c r="D51" s="6"/>
      <c r="E51" s="7"/>
      <c r="F51" s="8"/>
      <c r="G51" s="17" t="s">
        <v>327</v>
      </c>
      <c r="H51" s="14">
        <v>1</v>
      </c>
      <c r="I51" s="18">
        <v>5000</v>
      </c>
      <c r="J51" s="15">
        <f t="shared" si="3"/>
        <v>5000</v>
      </c>
    </row>
    <row r="52" spans="2:12" x14ac:dyDescent="0.25">
      <c r="B52" s="125"/>
      <c r="C52" s="5"/>
      <c r="D52" s="6"/>
      <c r="E52" s="7"/>
      <c r="F52" s="8"/>
      <c r="G52" s="17" t="s">
        <v>328</v>
      </c>
      <c r="H52" s="14">
        <v>1</v>
      </c>
      <c r="I52" s="18">
        <v>3000</v>
      </c>
      <c r="J52" s="15">
        <f t="shared" si="3"/>
        <v>3000</v>
      </c>
    </row>
    <row r="53" spans="2:12" x14ac:dyDescent="0.25">
      <c r="B53" s="125"/>
      <c r="C53" s="5"/>
      <c r="D53" s="6"/>
      <c r="E53" s="7"/>
      <c r="F53" s="8"/>
      <c r="G53" s="17" t="s">
        <v>31</v>
      </c>
      <c r="H53" s="14">
        <v>4</v>
      </c>
      <c r="I53" s="18">
        <v>3000</v>
      </c>
      <c r="J53" s="15">
        <f t="shared" si="3"/>
        <v>12000</v>
      </c>
    </row>
    <row r="54" spans="2:12" x14ac:dyDescent="0.25">
      <c r="B54" s="125"/>
      <c r="C54" s="5"/>
      <c r="D54" s="6"/>
      <c r="E54" s="7"/>
      <c r="F54" s="8">
        <f>D54*E54</f>
        <v>0</v>
      </c>
      <c r="G54" s="17" t="s">
        <v>400</v>
      </c>
      <c r="H54" s="14">
        <v>10</v>
      </c>
      <c r="I54" s="18">
        <v>5333</v>
      </c>
      <c r="J54" s="15">
        <f t="shared" si="3"/>
        <v>53330</v>
      </c>
    </row>
    <row r="55" spans="2:12" x14ac:dyDescent="0.25">
      <c r="B55" s="125"/>
      <c r="C55" s="5"/>
      <c r="D55" s="6"/>
      <c r="E55" s="7"/>
      <c r="F55" s="8"/>
      <c r="G55" s="17" t="s">
        <v>32</v>
      </c>
      <c r="H55" s="14">
        <v>1</v>
      </c>
      <c r="I55" s="18">
        <v>160000</v>
      </c>
      <c r="J55" s="15">
        <f t="shared" si="3"/>
        <v>160000</v>
      </c>
    </row>
    <row r="56" spans="2:12" ht="15.75" customHeight="1" x14ac:dyDescent="0.25">
      <c r="B56" s="125"/>
      <c r="C56" s="5"/>
      <c r="D56" s="6"/>
      <c r="E56" s="7"/>
      <c r="F56" s="8"/>
      <c r="G56" s="16" t="s">
        <v>33</v>
      </c>
      <c r="H56" s="14">
        <v>2</v>
      </c>
      <c r="I56" s="18">
        <v>53333</v>
      </c>
      <c r="J56" s="15">
        <f t="shared" si="3"/>
        <v>106666</v>
      </c>
    </row>
    <row r="57" spans="2:12" ht="33" customHeight="1" x14ac:dyDescent="0.25">
      <c r="B57" s="125"/>
      <c r="C57" s="5"/>
      <c r="D57" s="6"/>
      <c r="E57" s="7"/>
      <c r="F57" s="8"/>
      <c r="G57" s="16" t="s">
        <v>78</v>
      </c>
      <c r="H57" s="14">
        <v>1</v>
      </c>
      <c r="I57" s="18">
        <v>3633300</v>
      </c>
      <c r="J57" s="15">
        <f t="shared" si="3"/>
        <v>3633300</v>
      </c>
    </row>
    <row r="58" spans="2:12" x14ac:dyDescent="0.25">
      <c r="B58" s="125"/>
      <c r="C58" s="5"/>
      <c r="D58" s="6"/>
      <c r="E58" s="7"/>
      <c r="F58" s="8"/>
      <c r="G58" s="17" t="s">
        <v>34</v>
      </c>
      <c r="H58" s="14">
        <v>20</v>
      </c>
      <c r="I58" s="18">
        <v>20000</v>
      </c>
      <c r="J58" s="15">
        <f t="shared" si="3"/>
        <v>400000</v>
      </c>
    </row>
    <row r="59" spans="2:12" x14ac:dyDescent="0.25">
      <c r="B59" s="113" t="s">
        <v>12</v>
      </c>
      <c r="C59" s="113"/>
      <c r="D59" s="113"/>
      <c r="E59" s="113"/>
      <c r="F59" s="114">
        <f>SUM(F24:F55)</f>
        <v>3650000</v>
      </c>
      <c r="G59" s="115" t="s">
        <v>12</v>
      </c>
      <c r="H59" s="115"/>
      <c r="I59" s="115"/>
      <c r="J59" s="116">
        <f>SUM(J24:J58)</f>
        <v>7785194</v>
      </c>
    </row>
    <row r="60" spans="2:12" ht="15.75" thickBot="1" x14ac:dyDescent="0.3">
      <c r="B60" s="113"/>
      <c r="C60" s="113"/>
      <c r="D60" s="113"/>
      <c r="E60" s="113"/>
      <c r="F60" s="114"/>
      <c r="G60" s="115"/>
      <c r="H60" s="115"/>
      <c r="I60" s="115"/>
      <c r="J60" s="116"/>
    </row>
    <row r="61" spans="2:12" ht="15" customHeight="1" x14ac:dyDescent="0.25">
      <c r="B61" s="121" t="s">
        <v>479</v>
      </c>
      <c r="C61" s="121"/>
      <c r="D61" s="121"/>
      <c r="E61" s="121"/>
      <c r="F61" s="121"/>
      <c r="G61" s="121"/>
      <c r="H61" s="121"/>
      <c r="I61" s="121"/>
      <c r="J61" s="121"/>
    </row>
    <row r="62" spans="2:12" x14ac:dyDescent="0.25">
      <c r="B62" s="122" t="s">
        <v>0</v>
      </c>
      <c r="C62" s="123" t="s">
        <v>1</v>
      </c>
      <c r="D62" s="123"/>
      <c r="E62" s="123"/>
      <c r="F62" s="123"/>
      <c r="G62" s="112" t="s">
        <v>2</v>
      </c>
      <c r="H62" s="112"/>
      <c r="I62" s="112"/>
      <c r="J62" s="112"/>
    </row>
    <row r="63" spans="2:12" x14ac:dyDescent="0.25">
      <c r="B63" s="122"/>
      <c r="C63" s="2" t="s">
        <v>3</v>
      </c>
      <c r="D63" s="3" t="s">
        <v>4</v>
      </c>
      <c r="E63" s="3" t="s">
        <v>5</v>
      </c>
      <c r="F63" s="3" t="s">
        <v>6</v>
      </c>
      <c r="G63" s="2" t="s">
        <v>3</v>
      </c>
      <c r="H63" s="3" t="s">
        <v>4</v>
      </c>
      <c r="I63" s="3" t="s">
        <v>5</v>
      </c>
      <c r="J63" s="4" t="s">
        <v>6</v>
      </c>
    </row>
    <row r="64" spans="2:12" x14ac:dyDescent="0.25">
      <c r="B64" s="2"/>
      <c r="C64" s="2"/>
      <c r="D64" s="3"/>
      <c r="E64" s="3"/>
      <c r="F64" s="21"/>
      <c r="G64" s="96" t="s">
        <v>420</v>
      </c>
      <c r="H64" s="72">
        <v>50</v>
      </c>
      <c r="I64" s="18">
        <v>1500</v>
      </c>
      <c r="J64" s="15">
        <f t="shared" ref="J64:J66" si="4">H64*I64</f>
        <v>75000</v>
      </c>
      <c r="L64">
        <f>200/4</f>
        <v>50</v>
      </c>
    </row>
    <row r="65" spans="1:12" x14ac:dyDescent="0.25">
      <c r="B65" s="20"/>
      <c r="C65" s="5" t="s">
        <v>8</v>
      </c>
      <c r="D65" s="6">
        <v>5</v>
      </c>
      <c r="E65" s="7">
        <v>90000</v>
      </c>
      <c r="F65" s="8">
        <f>D65*E65</f>
        <v>450000</v>
      </c>
      <c r="G65" s="97" t="s">
        <v>36</v>
      </c>
      <c r="H65" s="72">
        <v>50</v>
      </c>
      <c r="I65" s="18">
        <v>1500</v>
      </c>
      <c r="J65" s="15">
        <f t="shared" si="4"/>
        <v>75000</v>
      </c>
    </row>
    <row r="66" spans="1:12" x14ac:dyDescent="0.25">
      <c r="B66" s="20"/>
      <c r="C66" s="5"/>
      <c r="D66" s="6"/>
      <c r="E66" s="7"/>
      <c r="F66" s="8">
        <f t="shared" ref="F66" si="5">D66*E66</f>
        <v>0</v>
      </c>
      <c r="G66" s="97" t="s">
        <v>460</v>
      </c>
      <c r="H66" s="72">
        <v>50</v>
      </c>
      <c r="I66" s="18">
        <v>1500</v>
      </c>
      <c r="J66" s="15">
        <f t="shared" si="4"/>
        <v>75000</v>
      </c>
    </row>
    <row r="67" spans="1:12" x14ac:dyDescent="0.25">
      <c r="B67" s="20"/>
      <c r="C67" s="5"/>
      <c r="D67" s="6"/>
      <c r="E67" s="7"/>
      <c r="F67" s="8"/>
      <c r="G67" s="17" t="s">
        <v>461</v>
      </c>
      <c r="H67" s="72">
        <v>50</v>
      </c>
      <c r="I67" s="18">
        <v>1500</v>
      </c>
      <c r="J67" s="15">
        <f>H67*I67</f>
        <v>75000</v>
      </c>
    </row>
    <row r="68" spans="1:12" x14ac:dyDescent="0.25">
      <c r="B68" s="20"/>
      <c r="C68" s="5"/>
      <c r="D68" s="6"/>
      <c r="E68" s="7"/>
      <c r="F68" s="8"/>
      <c r="G68" s="97"/>
      <c r="H68" s="72"/>
      <c r="I68" s="18"/>
      <c r="J68" s="15"/>
      <c r="L68">
        <f>600/3</f>
        <v>200</v>
      </c>
    </row>
    <row r="69" spans="1:12" x14ac:dyDescent="0.25">
      <c r="B69" s="20"/>
      <c r="C69" s="5"/>
      <c r="D69" s="6"/>
      <c r="E69" s="7"/>
      <c r="F69" s="8"/>
      <c r="G69" s="17"/>
      <c r="H69" s="72"/>
      <c r="I69" s="18"/>
      <c r="J69" s="15"/>
    </row>
    <row r="70" spans="1:12" x14ac:dyDescent="0.25">
      <c r="B70" s="20"/>
      <c r="C70" s="5"/>
      <c r="D70" s="6"/>
      <c r="E70" s="7"/>
      <c r="F70" s="8"/>
      <c r="G70" s="17"/>
      <c r="H70" s="29"/>
      <c r="I70" s="18"/>
      <c r="J70" s="15"/>
    </row>
    <row r="71" spans="1:12" x14ac:dyDescent="0.25">
      <c r="B71" s="20"/>
      <c r="C71" s="5"/>
      <c r="D71" s="6"/>
      <c r="E71" s="7"/>
      <c r="F71" s="8"/>
      <c r="G71" s="17"/>
      <c r="H71" s="29"/>
      <c r="I71" s="18"/>
      <c r="J71" s="15"/>
    </row>
    <row r="72" spans="1:12" x14ac:dyDescent="0.25">
      <c r="B72" s="113" t="s">
        <v>12</v>
      </c>
      <c r="C72" s="113"/>
      <c r="D72" s="113"/>
      <c r="E72" s="113"/>
      <c r="F72" s="114">
        <f>SUM(F65:F71)</f>
        <v>450000</v>
      </c>
      <c r="G72" s="115" t="s">
        <v>12</v>
      </c>
      <c r="H72" s="115"/>
      <c r="I72" s="115"/>
      <c r="J72" s="116">
        <f>SUM(J64:J71)</f>
        <v>300000</v>
      </c>
    </row>
    <row r="73" spans="1:12" ht="15.75" thickBot="1" x14ac:dyDescent="0.3">
      <c r="B73" s="113"/>
      <c r="C73" s="113"/>
      <c r="D73" s="113"/>
      <c r="E73" s="113"/>
      <c r="F73" s="114"/>
      <c r="G73" s="115"/>
      <c r="H73" s="115"/>
      <c r="I73" s="115"/>
      <c r="J73" s="116"/>
    </row>
    <row r="74" spans="1:12" ht="14.85" customHeight="1" x14ac:dyDescent="0.25">
      <c r="B74" s="121" t="s">
        <v>452</v>
      </c>
      <c r="C74" s="121"/>
      <c r="D74" s="121"/>
      <c r="E74" s="121"/>
      <c r="F74" s="121"/>
      <c r="G74" s="121"/>
      <c r="H74" s="121"/>
      <c r="I74" s="121"/>
      <c r="J74" s="121"/>
    </row>
    <row r="75" spans="1:12" x14ac:dyDescent="0.25">
      <c r="B75" s="122" t="s">
        <v>0</v>
      </c>
      <c r="C75" s="123" t="s">
        <v>1</v>
      </c>
      <c r="D75" s="123"/>
      <c r="E75" s="123"/>
      <c r="F75" s="123"/>
      <c r="G75" s="112" t="s">
        <v>2</v>
      </c>
      <c r="H75" s="112"/>
      <c r="I75" s="112"/>
      <c r="J75" s="112"/>
    </row>
    <row r="76" spans="1:12" x14ac:dyDescent="0.25">
      <c r="B76" s="122"/>
      <c r="C76" s="2" t="s">
        <v>3</v>
      </c>
      <c r="D76" s="3" t="s">
        <v>4</v>
      </c>
      <c r="E76" s="3" t="s">
        <v>5</v>
      </c>
      <c r="F76" s="3" t="s">
        <v>6</v>
      </c>
      <c r="G76" s="2" t="s">
        <v>3</v>
      </c>
      <c r="H76" s="3" t="s">
        <v>4</v>
      </c>
      <c r="I76" s="3" t="s">
        <v>5</v>
      </c>
      <c r="J76" s="4" t="s">
        <v>6</v>
      </c>
    </row>
    <row r="77" spans="1:12" x14ac:dyDescent="0.25">
      <c r="B77" s="124"/>
      <c r="C77" s="5" t="s">
        <v>43</v>
      </c>
      <c r="D77" s="6">
        <v>200</v>
      </c>
      <c r="E77" s="7">
        <v>5000</v>
      </c>
      <c r="F77" s="8">
        <f t="shared" ref="F77:F99" si="6">D77*E77</f>
        <v>1000000</v>
      </c>
      <c r="G77" s="23" t="s">
        <v>42</v>
      </c>
      <c r="H77" s="6">
        <v>5</v>
      </c>
      <c r="I77" s="7">
        <v>15000</v>
      </c>
      <c r="J77" s="15">
        <f>H77*I77</f>
        <v>75000</v>
      </c>
      <c r="K77" t="s">
        <v>462</v>
      </c>
    </row>
    <row r="78" spans="1:12" x14ac:dyDescent="0.25">
      <c r="B78" s="124"/>
      <c r="C78" s="5" t="s">
        <v>45</v>
      </c>
      <c r="D78" s="12">
        <v>30</v>
      </c>
      <c r="E78" s="13">
        <v>2000</v>
      </c>
      <c r="F78" s="8">
        <f t="shared" si="6"/>
        <v>60000</v>
      </c>
      <c r="G78" s="23" t="s">
        <v>76</v>
      </c>
      <c r="H78" s="6">
        <v>5</v>
      </c>
      <c r="I78" s="7">
        <v>15000</v>
      </c>
      <c r="J78" s="15">
        <f t="shared" ref="J78:J110" si="7">H78*I78</f>
        <v>75000</v>
      </c>
    </row>
    <row r="79" spans="1:12" x14ac:dyDescent="0.25">
      <c r="B79" s="124"/>
      <c r="C79" s="5" t="s">
        <v>46</v>
      </c>
      <c r="D79" s="6">
        <v>100</v>
      </c>
      <c r="E79" s="7">
        <v>1000</v>
      </c>
      <c r="F79" s="8">
        <f t="shared" si="6"/>
        <v>100000</v>
      </c>
      <c r="G79" s="23" t="s">
        <v>47</v>
      </c>
      <c r="H79" s="6">
        <v>5</v>
      </c>
      <c r="I79" s="7">
        <v>15000</v>
      </c>
      <c r="J79" s="15">
        <f t="shared" si="7"/>
        <v>75000</v>
      </c>
    </row>
    <row r="80" spans="1:12" x14ac:dyDescent="0.25">
      <c r="A80">
        <v>540</v>
      </c>
      <c r="B80" s="124"/>
      <c r="C80" s="5"/>
      <c r="D80" s="14"/>
      <c r="E80" s="18">
        <v>5000</v>
      </c>
      <c r="F80" s="8">
        <f t="shared" si="6"/>
        <v>0</v>
      </c>
      <c r="G80" s="23" t="s">
        <v>52</v>
      </c>
      <c r="H80" s="6">
        <v>5</v>
      </c>
      <c r="I80" s="18">
        <v>15000</v>
      </c>
      <c r="J80" s="15">
        <f t="shared" si="7"/>
        <v>75000</v>
      </c>
    </row>
    <row r="81" spans="2:10" x14ac:dyDescent="0.25">
      <c r="B81" s="124"/>
      <c r="C81" s="5"/>
      <c r="D81" s="6"/>
      <c r="E81" s="7"/>
      <c r="F81" s="8">
        <f t="shared" si="6"/>
        <v>0</v>
      </c>
      <c r="G81" s="23" t="s">
        <v>50</v>
      </c>
      <c r="H81" s="6">
        <v>5</v>
      </c>
      <c r="I81" s="18">
        <v>15000</v>
      </c>
      <c r="J81" s="15">
        <f t="shared" si="7"/>
        <v>75000</v>
      </c>
    </row>
    <row r="82" spans="2:10" x14ac:dyDescent="0.25">
      <c r="B82" s="124"/>
      <c r="C82" s="11"/>
      <c r="D82" s="12"/>
      <c r="E82" s="7"/>
      <c r="F82" s="8">
        <f t="shared" si="6"/>
        <v>0</v>
      </c>
      <c r="G82" s="11" t="s">
        <v>54</v>
      </c>
      <c r="H82" s="6">
        <v>5</v>
      </c>
      <c r="I82" s="18">
        <v>8000</v>
      </c>
      <c r="J82" s="15">
        <f t="shared" si="7"/>
        <v>40000</v>
      </c>
    </row>
    <row r="83" spans="2:10" x14ac:dyDescent="0.25">
      <c r="B83" s="124"/>
      <c r="C83" s="5"/>
      <c r="D83" s="1"/>
      <c r="E83" s="7"/>
      <c r="F83" s="8">
        <f t="shared" si="6"/>
        <v>0</v>
      </c>
      <c r="G83" s="23" t="s">
        <v>441</v>
      </c>
      <c r="H83" s="6">
        <v>5</v>
      </c>
      <c r="I83" s="18">
        <v>8000</v>
      </c>
      <c r="J83" s="15">
        <f>H82*I83</f>
        <v>40000</v>
      </c>
    </row>
    <row r="84" spans="2:10" x14ac:dyDescent="0.25">
      <c r="B84" s="124"/>
      <c r="C84" s="5"/>
      <c r="D84" s="6"/>
      <c r="E84" s="7"/>
      <c r="F84" s="8">
        <f t="shared" si="6"/>
        <v>0</v>
      </c>
      <c r="G84" s="11" t="s">
        <v>71</v>
      </c>
      <c r="H84" s="6">
        <v>5</v>
      </c>
      <c r="I84" s="18">
        <v>8000</v>
      </c>
      <c r="J84" s="15">
        <f>H83*I84</f>
        <v>40000</v>
      </c>
    </row>
    <row r="85" spans="2:10" x14ac:dyDescent="0.25">
      <c r="B85" s="124"/>
      <c r="C85" s="5"/>
      <c r="D85" s="6"/>
      <c r="E85" s="7"/>
      <c r="F85" s="8">
        <f t="shared" si="6"/>
        <v>0</v>
      </c>
      <c r="G85" s="11" t="s">
        <v>53</v>
      </c>
      <c r="H85" s="6">
        <v>5</v>
      </c>
      <c r="I85" s="18">
        <v>8000</v>
      </c>
      <c r="J85" s="15">
        <f t="shared" ref="J85:J86" si="8">H84*I85</f>
        <v>40000</v>
      </c>
    </row>
    <row r="86" spans="2:10" x14ac:dyDescent="0.25">
      <c r="B86" s="124"/>
      <c r="C86" s="5"/>
      <c r="D86" s="6"/>
      <c r="E86" s="7"/>
      <c r="F86" s="8">
        <f t="shared" si="6"/>
        <v>0</v>
      </c>
      <c r="G86" s="11" t="s">
        <v>425</v>
      </c>
      <c r="H86" s="6">
        <v>5</v>
      </c>
      <c r="I86" s="18">
        <v>5000</v>
      </c>
      <c r="J86" s="15">
        <f t="shared" si="8"/>
        <v>25000</v>
      </c>
    </row>
    <row r="87" spans="2:10" x14ac:dyDescent="0.25">
      <c r="B87" s="124"/>
      <c r="C87" s="5"/>
      <c r="D87" s="6"/>
      <c r="E87" s="7"/>
      <c r="F87" s="8"/>
      <c r="G87" s="11" t="s">
        <v>51</v>
      </c>
      <c r="H87" s="6">
        <v>5</v>
      </c>
      <c r="I87" s="11"/>
      <c r="J87" s="15"/>
    </row>
    <row r="88" spans="2:10" x14ac:dyDescent="0.25">
      <c r="B88" s="124"/>
      <c r="C88" s="5"/>
      <c r="D88" s="6"/>
      <c r="E88" s="7"/>
      <c r="F88" s="8"/>
      <c r="G88" s="11"/>
      <c r="H88" s="11"/>
      <c r="I88" s="11"/>
      <c r="J88" s="15"/>
    </row>
    <row r="89" spans="2:10" x14ac:dyDescent="0.25">
      <c r="B89" s="124"/>
      <c r="C89" s="5"/>
      <c r="D89" s="6"/>
      <c r="E89" s="7"/>
      <c r="F89" s="8"/>
      <c r="G89" s="11"/>
      <c r="H89" s="11"/>
      <c r="I89" s="11"/>
      <c r="J89" s="15"/>
    </row>
    <row r="90" spans="2:10" x14ac:dyDescent="0.25">
      <c r="B90" s="124"/>
      <c r="C90" s="5"/>
      <c r="D90" s="6"/>
      <c r="E90" s="7"/>
      <c r="F90" s="8">
        <f t="shared" si="6"/>
        <v>0</v>
      </c>
      <c r="G90" s="23"/>
      <c r="H90" s="94"/>
      <c r="I90" s="18"/>
      <c r="J90" s="15"/>
    </row>
    <row r="91" spans="2:10" x14ac:dyDescent="0.25">
      <c r="B91" s="124"/>
      <c r="C91" s="5"/>
      <c r="D91" s="6"/>
      <c r="E91" s="7"/>
      <c r="F91" s="8">
        <f t="shared" si="6"/>
        <v>0</v>
      </c>
      <c r="G91" s="23" t="s">
        <v>55</v>
      </c>
      <c r="H91" s="14">
        <v>1</v>
      </c>
      <c r="I91" s="18">
        <v>194000</v>
      </c>
      <c r="J91" s="15">
        <f t="shared" si="7"/>
        <v>194000</v>
      </c>
    </row>
    <row r="92" spans="2:10" x14ac:dyDescent="0.25">
      <c r="B92" s="124"/>
      <c r="C92" s="5"/>
      <c r="D92" s="6"/>
      <c r="E92" s="7"/>
      <c r="F92" s="8">
        <f t="shared" si="6"/>
        <v>0</v>
      </c>
      <c r="G92" s="23" t="s">
        <v>56</v>
      </c>
      <c r="H92" s="94">
        <v>2</v>
      </c>
      <c r="I92" s="18">
        <v>8667</v>
      </c>
      <c r="J92" s="15">
        <f t="shared" si="7"/>
        <v>17334</v>
      </c>
    </row>
    <row r="93" spans="2:10" x14ac:dyDescent="0.25">
      <c r="B93" s="124"/>
      <c r="C93" s="5"/>
      <c r="D93" s="6"/>
      <c r="E93" s="7"/>
      <c r="F93" s="8">
        <f t="shared" si="6"/>
        <v>0</v>
      </c>
      <c r="G93" s="23" t="s">
        <v>57</v>
      </c>
      <c r="H93" s="94">
        <v>2</v>
      </c>
      <c r="I93" s="18">
        <v>13333</v>
      </c>
      <c r="J93" s="15">
        <f t="shared" si="7"/>
        <v>26666</v>
      </c>
    </row>
    <row r="94" spans="2:10" x14ac:dyDescent="0.25">
      <c r="B94" s="124"/>
      <c r="C94" s="99"/>
      <c r="D94" s="93"/>
      <c r="E94" s="7"/>
      <c r="F94" s="8">
        <f t="shared" si="6"/>
        <v>0</v>
      </c>
      <c r="G94" s="23" t="s">
        <v>67</v>
      </c>
      <c r="H94" s="94">
        <v>1</v>
      </c>
      <c r="I94" s="18">
        <v>42667</v>
      </c>
      <c r="J94" s="15">
        <f t="shared" si="7"/>
        <v>42667</v>
      </c>
    </row>
    <row r="95" spans="2:10" x14ac:dyDescent="0.25">
      <c r="B95" s="124"/>
      <c r="C95" s="5"/>
      <c r="D95" s="6"/>
      <c r="E95" s="7"/>
      <c r="F95" s="8">
        <f t="shared" si="6"/>
        <v>0</v>
      </c>
      <c r="G95" s="23" t="s">
        <v>68</v>
      </c>
      <c r="H95" s="94">
        <v>1</v>
      </c>
      <c r="I95" s="18">
        <v>13333</v>
      </c>
      <c r="J95" s="15">
        <f t="shared" si="7"/>
        <v>13333</v>
      </c>
    </row>
    <row r="96" spans="2:10" x14ac:dyDescent="0.25">
      <c r="B96" s="124"/>
      <c r="C96" s="5"/>
      <c r="D96" s="6"/>
      <c r="E96" s="7"/>
      <c r="F96" s="8">
        <f t="shared" si="6"/>
        <v>0</v>
      </c>
      <c r="G96" s="23" t="s">
        <v>90</v>
      </c>
      <c r="H96" s="94">
        <v>1</v>
      </c>
      <c r="I96" s="18">
        <v>7333</v>
      </c>
      <c r="J96" s="15">
        <f t="shared" si="7"/>
        <v>7333</v>
      </c>
    </row>
    <row r="97" spans="2:12" x14ac:dyDescent="0.25">
      <c r="B97" s="124"/>
      <c r="C97" s="5"/>
      <c r="D97" s="6"/>
      <c r="E97" s="7"/>
      <c r="F97" s="8">
        <f t="shared" si="6"/>
        <v>0</v>
      </c>
      <c r="G97" s="23" t="s">
        <v>82</v>
      </c>
      <c r="H97" s="94">
        <v>1</v>
      </c>
      <c r="I97" s="18">
        <v>12000</v>
      </c>
      <c r="J97" s="15">
        <f t="shared" si="7"/>
        <v>12000</v>
      </c>
    </row>
    <row r="98" spans="2:12" x14ac:dyDescent="0.25">
      <c r="B98" s="124"/>
      <c r="C98" s="5"/>
      <c r="D98" s="6"/>
      <c r="E98" s="7"/>
      <c r="F98" s="8">
        <f t="shared" si="6"/>
        <v>0</v>
      </c>
      <c r="G98" s="23" t="s">
        <v>58</v>
      </c>
      <c r="H98" s="94">
        <v>2</v>
      </c>
      <c r="I98" s="18">
        <v>7333</v>
      </c>
      <c r="J98" s="15">
        <f t="shared" si="7"/>
        <v>14666</v>
      </c>
      <c r="L98">
        <v>29</v>
      </c>
    </row>
    <row r="99" spans="2:12" x14ac:dyDescent="0.25">
      <c r="B99" s="124"/>
      <c r="C99" s="5"/>
      <c r="D99" s="6"/>
      <c r="E99" s="7"/>
      <c r="F99" s="8">
        <f t="shared" si="6"/>
        <v>0</v>
      </c>
      <c r="G99" s="23" t="s">
        <v>91</v>
      </c>
      <c r="H99" s="94">
        <v>2</v>
      </c>
      <c r="I99" s="18">
        <v>18000</v>
      </c>
      <c r="J99" s="15">
        <f t="shared" si="7"/>
        <v>36000</v>
      </c>
    </row>
    <row r="100" spans="2:12" x14ac:dyDescent="0.25">
      <c r="B100" s="124"/>
      <c r="C100" s="5"/>
      <c r="D100" s="6"/>
      <c r="E100" s="7"/>
      <c r="F100" s="8"/>
      <c r="G100" s="23" t="s">
        <v>89</v>
      </c>
      <c r="H100" s="94">
        <v>1</v>
      </c>
      <c r="I100" s="18">
        <v>70000</v>
      </c>
      <c r="J100" s="15">
        <f t="shared" si="7"/>
        <v>70000</v>
      </c>
    </row>
    <row r="101" spans="2:12" x14ac:dyDescent="0.25">
      <c r="B101" s="124"/>
      <c r="C101" s="5"/>
      <c r="D101" s="6"/>
      <c r="E101" s="7"/>
      <c r="F101" s="8"/>
      <c r="G101" s="11" t="s">
        <v>83</v>
      </c>
      <c r="H101" s="12">
        <v>1</v>
      </c>
      <c r="I101" s="18">
        <v>70000</v>
      </c>
      <c r="J101" s="15">
        <f t="shared" si="7"/>
        <v>70000</v>
      </c>
    </row>
    <row r="102" spans="2:12" x14ac:dyDescent="0.25">
      <c r="B102" s="124"/>
      <c r="C102" s="5"/>
      <c r="D102" s="6"/>
      <c r="E102" s="7"/>
      <c r="F102" s="8"/>
      <c r="G102" s="11" t="s">
        <v>84</v>
      </c>
      <c r="H102" s="12">
        <v>1</v>
      </c>
      <c r="I102" s="18">
        <v>12000</v>
      </c>
      <c r="J102" s="15">
        <f t="shared" si="7"/>
        <v>12000</v>
      </c>
    </row>
    <row r="103" spans="2:12" x14ac:dyDescent="0.25">
      <c r="B103" s="124"/>
      <c r="C103" s="5" t="s">
        <v>8</v>
      </c>
      <c r="D103" s="14">
        <v>5</v>
      </c>
      <c r="E103" s="18">
        <v>5000</v>
      </c>
      <c r="F103" s="8"/>
      <c r="G103" s="23" t="s">
        <v>59</v>
      </c>
      <c r="H103" s="14">
        <v>2</v>
      </c>
      <c r="I103" s="18">
        <v>16000</v>
      </c>
      <c r="J103" s="15">
        <f t="shared" si="7"/>
        <v>32000</v>
      </c>
    </row>
    <row r="104" spans="2:12" x14ac:dyDescent="0.25">
      <c r="B104" s="124"/>
      <c r="C104" s="5"/>
      <c r="D104" s="6"/>
      <c r="E104" s="7"/>
      <c r="F104" s="8"/>
      <c r="G104" s="23" t="s">
        <v>60</v>
      </c>
      <c r="H104" s="14">
        <v>1</v>
      </c>
      <c r="I104" s="18">
        <v>40000</v>
      </c>
      <c r="J104" s="15">
        <f t="shared" si="7"/>
        <v>40000</v>
      </c>
    </row>
    <row r="105" spans="2:12" x14ac:dyDescent="0.25">
      <c r="B105" s="124"/>
      <c r="C105" s="11"/>
      <c r="D105" s="11"/>
      <c r="E105" s="11"/>
      <c r="F105" s="8"/>
      <c r="G105" s="11" t="s">
        <v>61</v>
      </c>
      <c r="H105" s="6">
        <v>3</v>
      </c>
      <c r="I105" s="18">
        <v>42000</v>
      </c>
      <c r="J105" s="15">
        <f t="shared" si="7"/>
        <v>126000</v>
      </c>
    </row>
    <row r="106" spans="2:12" x14ac:dyDescent="0.25">
      <c r="B106" s="24"/>
      <c r="C106" s="11"/>
      <c r="D106" s="11"/>
      <c r="E106" s="11"/>
      <c r="F106" s="8"/>
      <c r="G106" s="11" t="s">
        <v>62</v>
      </c>
      <c r="H106" s="6">
        <v>1</v>
      </c>
      <c r="I106" s="18">
        <v>40000</v>
      </c>
      <c r="J106" s="15">
        <f t="shared" si="7"/>
        <v>40000</v>
      </c>
    </row>
    <row r="107" spans="2:12" x14ac:dyDescent="0.25">
      <c r="B107" s="24"/>
      <c r="C107" s="11"/>
      <c r="D107" s="11"/>
      <c r="E107" s="11"/>
      <c r="F107" s="8"/>
      <c r="G107" s="11" t="s">
        <v>87</v>
      </c>
      <c r="H107" s="6">
        <v>1</v>
      </c>
      <c r="I107" s="18">
        <v>80000</v>
      </c>
      <c r="J107" s="15">
        <f t="shared" si="7"/>
        <v>80000</v>
      </c>
    </row>
    <row r="108" spans="2:12" x14ac:dyDescent="0.25">
      <c r="B108" s="24"/>
      <c r="C108" s="11"/>
      <c r="D108" s="11"/>
      <c r="E108" s="11"/>
      <c r="F108" s="8"/>
      <c r="G108" s="11" t="s">
        <v>63</v>
      </c>
      <c r="H108" s="6">
        <v>1</v>
      </c>
      <c r="I108" s="18">
        <v>70000</v>
      </c>
      <c r="J108" s="15">
        <f t="shared" si="7"/>
        <v>70000</v>
      </c>
    </row>
    <row r="109" spans="2:12" x14ac:dyDescent="0.25">
      <c r="B109" s="24"/>
      <c r="C109" s="74"/>
      <c r="D109" s="74"/>
      <c r="E109" s="74"/>
      <c r="F109" s="8"/>
      <c r="G109" s="11" t="s">
        <v>338</v>
      </c>
      <c r="H109" s="6">
        <v>2</v>
      </c>
      <c r="I109" s="18">
        <v>40000</v>
      </c>
      <c r="J109" s="15">
        <f t="shared" si="7"/>
        <v>80000</v>
      </c>
    </row>
    <row r="110" spans="2:12" x14ac:dyDescent="0.25">
      <c r="B110" s="24"/>
      <c r="C110" s="74"/>
      <c r="D110" s="74"/>
      <c r="E110" s="74"/>
      <c r="F110" s="8"/>
      <c r="G110" s="11" t="s">
        <v>85</v>
      </c>
      <c r="H110" s="6">
        <v>2</v>
      </c>
      <c r="I110" s="18">
        <v>50000</v>
      </c>
      <c r="J110" s="15">
        <f t="shared" si="7"/>
        <v>100000</v>
      </c>
    </row>
    <row r="111" spans="2:12" x14ac:dyDescent="0.25">
      <c r="B111" s="24"/>
      <c r="C111" s="74"/>
      <c r="D111" s="74"/>
      <c r="E111" s="74"/>
      <c r="F111" s="8"/>
      <c r="G111" s="11" t="s">
        <v>339</v>
      </c>
      <c r="H111" s="6"/>
      <c r="I111" s="18"/>
      <c r="J111" s="15"/>
    </row>
    <row r="112" spans="2:12" x14ac:dyDescent="0.25">
      <c r="B112" s="113" t="s">
        <v>12</v>
      </c>
      <c r="C112" s="113"/>
      <c r="D112" s="113"/>
      <c r="E112" s="113"/>
      <c r="F112" s="114">
        <f>SUM(F77:F105)</f>
        <v>1160000</v>
      </c>
      <c r="G112" s="115" t="s">
        <v>12</v>
      </c>
      <c r="H112" s="115"/>
      <c r="I112" s="115"/>
      <c r="J112" s="116">
        <f>SUM(J77:J111)</f>
        <v>1643999</v>
      </c>
    </row>
    <row r="113" spans="2:10" ht="15.75" thickBot="1" x14ac:dyDescent="0.3">
      <c r="B113" s="113"/>
      <c r="C113" s="113"/>
      <c r="D113" s="113"/>
      <c r="E113" s="113"/>
      <c r="F113" s="114"/>
      <c r="G113" s="115"/>
      <c r="H113" s="115"/>
      <c r="I113" s="115"/>
      <c r="J113" s="116"/>
    </row>
    <row r="114" spans="2:10" x14ac:dyDescent="0.25">
      <c r="B114" s="121" t="s">
        <v>480</v>
      </c>
      <c r="C114" s="121"/>
      <c r="D114" s="121"/>
      <c r="E114" s="121"/>
      <c r="F114" s="121"/>
      <c r="G114" s="121"/>
      <c r="H114" s="121"/>
      <c r="I114" s="121"/>
      <c r="J114" s="121"/>
    </row>
    <row r="115" spans="2:10" x14ac:dyDescent="0.25">
      <c r="B115" s="122" t="s">
        <v>0</v>
      </c>
      <c r="C115" s="123" t="s">
        <v>1</v>
      </c>
      <c r="D115" s="123"/>
      <c r="E115" s="123"/>
      <c r="F115" s="123"/>
      <c r="G115" s="112" t="s">
        <v>2</v>
      </c>
      <c r="H115" s="112"/>
      <c r="I115" s="112"/>
      <c r="J115" s="112"/>
    </row>
    <row r="116" spans="2:10" x14ac:dyDescent="0.25">
      <c r="B116" s="122"/>
      <c r="C116" s="2" t="s">
        <v>3</v>
      </c>
      <c r="D116" s="3" t="s">
        <v>4</v>
      </c>
      <c r="E116" s="3" t="s">
        <v>5</v>
      </c>
      <c r="F116" s="3" t="s">
        <v>6</v>
      </c>
      <c r="G116" s="2" t="s">
        <v>3</v>
      </c>
      <c r="H116" s="3" t="s">
        <v>4</v>
      </c>
      <c r="I116" s="3" t="s">
        <v>5</v>
      </c>
      <c r="J116" s="4" t="s">
        <v>6</v>
      </c>
    </row>
    <row r="117" spans="2:10" x14ac:dyDescent="0.25">
      <c r="B117" s="2"/>
      <c r="C117" s="100" t="s">
        <v>75</v>
      </c>
      <c r="D117" s="6">
        <v>80</v>
      </c>
      <c r="E117" s="7">
        <v>30000</v>
      </c>
      <c r="F117" s="8">
        <f>D117*E117</f>
        <v>2400000</v>
      </c>
      <c r="G117" s="71" t="s">
        <v>463</v>
      </c>
      <c r="H117" s="72">
        <v>72</v>
      </c>
      <c r="I117" s="18">
        <v>1500</v>
      </c>
      <c r="J117" s="15">
        <f t="shared" ref="J117:J119" si="9">H117*I117</f>
        <v>108000</v>
      </c>
    </row>
    <row r="118" spans="2:10" x14ac:dyDescent="0.25">
      <c r="B118" s="20"/>
      <c r="C118" s="5" t="s">
        <v>8</v>
      </c>
      <c r="D118" s="6">
        <v>10</v>
      </c>
      <c r="E118" s="7">
        <v>90000</v>
      </c>
      <c r="F118" s="8">
        <f>D118*E118</f>
        <v>900000</v>
      </c>
      <c r="G118" s="73" t="s">
        <v>36</v>
      </c>
      <c r="H118" s="72">
        <v>72</v>
      </c>
      <c r="I118" s="18">
        <v>1500</v>
      </c>
      <c r="J118" s="15">
        <f t="shared" si="9"/>
        <v>108000</v>
      </c>
    </row>
    <row r="119" spans="2:10" x14ac:dyDescent="0.25">
      <c r="B119" s="20"/>
      <c r="C119" s="5"/>
      <c r="D119" s="6"/>
      <c r="E119" s="7"/>
      <c r="F119" s="8">
        <f t="shared" ref="F119:F121" si="10">D119*E119</f>
        <v>0</v>
      </c>
      <c r="G119" s="73" t="s">
        <v>411</v>
      </c>
      <c r="H119" s="72">
        <v>72</v>
      </c>
      <c r="I119" s="18">
        <v>1500</v>
      </c>
      <c r="J119" s="15">
        <f t="shared" si="9"/>
        <v>108000</v>
      </c>
    </row>
    <row r="120" spans="2:10" x14ac:dyDescent="0.25">
      <c r="B120" s="20"/>
      <c r="C120" s="5" t="s">
        <v>337</v>
      </c>
      <c r="D120" s="6">
        <v>200</v>
      </c>
      <c r="E120" s="7">
        <v>1500</v>
      </c>
      <c r="F120" s="8">
        <f t="shared" si="10"/>
        <v>300000</v>
      </c>
      <c r="G120" s="73" t="s">
        <v>331</v>
      </c>
      <c r="H120" s="72">
        <v>72</v>
      </c>
      <c r="I120" s="18">
        <v>1500</v>
      </c>
      <c r="J120" s="15">
        <f>H120*I120</f>
        <v>108000</v>
      </c>
    </row>
    <row r="121" spans="2:10" x14ac:dyDescent="0.25">
      <c r="B121" s="20"/>
      <c r="C121" s="98"/>
      <c r="D121" s="6"/>
      <c r="E121" s="7"/>
      <c r="F121" s="8">
        <f t="shared" si="10"/>
        <v>0</v>
      </c>
      <c r="G121" s="73" t="s">
        <v>330</v>
      </c>
      <c r="H121" s="72">
        <v>72</v>
      </c>
      <c r="I121" s="18">
        <v>1500</v>
      </c>
      <c r="J121" s="15">
        <f>H121*I121</f>
        <v>108000</v>
      </c>
    </row>
    <row r="122" spans="2:10" x14ac:dyDescent="0.25">
      <c r="B122" s="20"/>
      <c r="C122" s="5"/>
      <c r="D122" s="6"/>
      <c r="E122" s="7"/>
      <c r="F122" s="8"/>
      <c r="G122" s="73" t="s">
        <v>420</v>
      </c>
      <c r="H122" s="72">
        <v>72</v>
      </c>
      <c r="I122" s="18">
        <v>1500</v>
      </c>
      <c r="J122" s="15">
        <f>H122*I122</f>
        <v>108000</v>
      </c>
    </row>
    <row r="123" spans="2:10" x14ac:dyDescent="0.25">
      <c r="B123" s="20"/>
      <c r="C123" s="5"/>
      <c r="D123" s="6"/>
      <c r="E123" s="7"/>
      <c r="F123" s="8"/>
      <c r="G123" s="73" t="s">
        <v>422</v>
      </c>
      <c r="H123" s="72">
        <v>72</v>
      </c>
      <c r="I123" s="18">
        <v>1500</v>
      </c>
      <c r="J123" s="15">
        <f t="shared" ref="J123:J124" si="11">H123*I123</f>
        <v>108000</v>
      </c>
    </row>
    <row r="124" spans="2:10" x14ac:dyDescent="0.25">
      <c r="B124" s="20"/>
      <c r="C124" s="5"/>
      <c r="D124" s="6"/>
      <c r="E124" s="7"/>
      <c r="F124" s="8"/>
      <c r="G124" s="73" t="s">
        <v>50</v>
      </c>
      <c r="H124" s="29">
        <v>72</v>
      </c>
      <c r="I124" s="18">
        <v>10000</v>
      </c>
      <c r="J124" s="15">
        <f t="shared" si="11"/>
        <v>720000</v>
      </c>
    </row>
    <row r="125" spans="2:10" x14ac:dyDescent="0.25">
      <c r="G125" s="105" t="s">
        <v>445</v>
      </c>
      <c r="H125" s="29">
        <v>72</v>
      </c>
    </row>
    <row r="126" spans="2:10" x14ac:dyDescent="0.25">
      <c r="B126" s="113" t="s">
        <v>12</v>
      </c>
      <c r="C126" s="113"/>
      <c r="D126" s="113"/>
      <c r="E126" s="113"/>
      <c r="F126" s="114">
        <f>SUM(F117:F124)</f>
        <v>3600000</v>
      </c>
      <c r="G126" s="115" t="s">
        <v>12</v>
      </c>
      <c r="H126" s="115"/>
      <c r="I126" s="115"/>
      <c r="J126" s="116">
        <f>SUM(J117:J125)</f>
        <v>1476000</v>
      </c>
    </row>
    <row r="127" spans="2:10" x14ac:dyDescent="0.25">
      <c r="B127" s="113"/>
      <c r="C127" s="113"/>
      <c r="D127" s="113"/>
      <c r="E127" s="113"/>
      <c r="F127" s="114"/>
      <c r="G127" s="115"/>
      <c r="H127" s="115"/>
      <c r="I127" s="115"/>
      <c r="J127" s="116"/>
    </row>
    <row r="128" spans="2:10" ht="15.75" thickBot="1" x14ac:dyDescent="0.3">
      <c r="B128" s="117" t="s">
        <v>64</v>
      </c>
      <c r="C128" s="117"/>
      <c r="D128" s="117"/>
      <c r="E128" s="117"/>
      <c r="F128" s="118">
        <f>SUM(F112+F72+F59+F19)</f>
        <v>20260000</v>
      </c>
      <c r="G128" s="119" t="s">
        <v>64</v>
      </c>
      <c r="H128" s="119"/>
      <c r="I128" s="119"/>
      <c r="J128" s="120">
        <f>SUM(J112+J72+J19+J59+J126)</f>
        <v>13335193</v>
      </c>
    </row>
    <row r="129" spans="2:10" ht="15.75" thickBot="1" x14ac:dyDescent="0.3">
      <c r="B129" s="117"/>
      <c r="C129" s="117"/>
      <c r="D129" s="117"/>
      <c r="E129" s="117"/>
      <c r="F129" s="118"/>
      <c r="G129" s="119"/>
      <c r="H129" s="119"/>
      <c r="I129" s="119"/>
      <c r="J129" s="120"/>
    </row>
    <row r="134" spans="2:10" x14ac:dyDescent="0.25">
      <c r="H134" s="104"/>
    </row>
  </sheetData>
  <mergeCells count="49">
    <mergeCell ref="B21:J21"/>
    <mergeCell ref="B1:J6"/>
    <mergeCell ref="B7:J7"/>
    <mergeCell ref="B8:J8"/>
    <mergeCell ref="B9:B10"/>
    <mergeCell ref="C9:F9"/>
    <mergeCell ref="G9:J9"/>
    <mergeCell ref="B11:B18"/>
    <mergeCell ref="B19:E20"/>
    <mergeCell ref="F19:F20"/>
    <mergeCell ref="G19:I20"/>
    <mergeCell ref="J19:J20"/>
    <mergeCell ref="B22:B23"/>
    <mergeCell ref="C22:F22"/>
    <mergeCell ref="G22:J22"/>
    <mergeCell ref="B24:B58"/>
    <mergeCell ref="B59:E60"/>
    <mergeCell ref="F59:F60"/>
    <mergeCell ref="G59:I60"/>
    <mergeCell ref="J59:J60"/>
    <mergeCell ref="B74:J74"/>
    <mergeCell ref="B75:B76"/>
    <mergeCell ref="C75:F75"/>
    <mergeCell ref="G75:J75"/>
    <mergeCell ref="B77:B105"/>
    <mergeCell ref="B61:J61"/>
    <mergeCell ref="B62:B63"/>
    <mergeCell ref="C62:F62"/>
    <mergeCell ref="G62:J62"/>
    <mergeCell ref="B72:E73"/>
    <mergeCell ref="F72:F73"/>
    <mergeCell ref="G72:I73"/>
    <mergeCell ref="J72:J73"/>
    <mergeCell ref="G112:I113"/>
    <mergeCell ref="B128:E129"/>
    <mergeCell ref="F128:F129"/>
    <mergeCell ref="G128:I129"/>
    <mergeCell ref="J128:J129"/>
    <mergeCell ref="B114:J114"/>
    <mergeCell ref="B115:B116"/>
    <mergeCell ref="C115:F115"/>
    <mergeCell ref="G115:J115"/>
    <mergeCell ref="B126:E127"/>
    <mergeCell ref="F126:F127"/>
    <mergeCell ref="G126:I127"/>
    <mergeCell ref="J126:J127"/>
    <mergeCell ref="J112:J113"/>
    <mergeCell ref="B112:E113"/>
    <mergeCell ref="F112:F1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B463-6FF5-4185-A1E4-A838230A91C4}">
  <dimension ref="A1:O139"/>
  <sheetViews>
    <sheetView topLeftCell="D1" workbookViewId="0">
      <selection activeCell="I58" sqref="I58"/>
    </sheetView>
  </sheetViews>
  <sheetFormatPr baseColWidth="10" defaultColWidth="10.5703125" defaultRowHeight="15" x14ac:dyDescent="0.25"/>
  <cols>
    <col min="2" max="2" width="20.28515625" customWidth="1"/>
    <col min="3" max="3" width="27" customWidth="1"/>
    <col min="5" max="5" width="13.140625" customWidth="1"/>
    <col min="6" max="6" width="14.28515625" customWidth="1"/>
    <col min="7" max="7" width="42.7109375" bestFit="1" customWidth="1"/>
    <col min="8" max="8" width="13" bestFit="1" customWidth="1"/>
    <col min="9" max="9" width="12" customWidth="1"/>
    <col min="10" max="10" width="16.5703125" customWidth="1"/>
  </cols>
  <sheetData>
    <row r="1" spans="2:15" x14ac:dyDescent="0.25">
      <c r="B1" s="126"/>
      <c r="C1" s="126"/>
      <c r="D1" s="126"/>
      <c r="E1" s="126"/>
      <c r="F1" s="126"/>
      <c r="G1" s="126"/>
      <c r="H1" s="126"/>
      <c r="I1" s="126"/>
      <c r="J1" s="126"/>
    </row>
    <row r="2" spans="2:15" x14ac:dyDescent="0.25">
      <c r="B2" s="126"/>
      <c r="C2" s="126"/>
      <c r="D2" s="126"/>
      <c r="E2" s="126"/>
      <c r="F2" s="126"/>
      <c r="G2" s="126"/>
      <c r="H2" s="126"/>
      <c r="I2" s="126"/>
      <c r="J2" s="126"/>
    </row>
    <row r="3" spans="2:15" x14ac:dyDescent="0.25">
      <c r="B3" s="126"/>
      <c r="C3" s="126"/>
      <c r="D3" s="126"/>
      <c r="E3" s="126"/>
      <c r="F3" s="126"/>
      <c r="G3" s="126"/>
      <c r="H3" s="126"/>
      <c r="I3" s="126"/>
      <c r="J3" s="126"/>
    </row>
    <row r="4" spans="2:15" x14ac:dyDescent="0.25">
      <c r="B4" s="126"/>
      <c r="C4" s="126"/>
      <c r="D4" s="126"/>
      <c r="E4" s="126"/>
      <c r="F4" s="126"/>
      <c r="G4" s="126"/>
      <c r="H4" s="126"/>
      <c r="I4" s="126"/>
      <c r="J4" s="126"/>
    </row>
    <row r="5" spans="2:15" x14ac:dyDescent="0.25">
      <c r="B5" s="126"/>
      <c r="C5" s="126"/>
      <c r="D5" s="126"/>
      <c r="E5" s="126"/>
      <c r="F5" s="126"/>
      <c r="G5" s="126"/>
      <c r="H5" s="126"/>
      <c r="I5" s="126"/>
      <c r="J5" s="126"/>
    </row>
    <row r="6" spans="2:15" ht="15.75" thickBot="1" x14ac:dyDescent="0.3">
      <c r="B6" s="126"/>
      <c r="C6" s="126"/>
      <c r="D6" s="126"/>
      <c r="E6" s="126"/>
      <c r="F6" s="126"/>
      <c r="G6" s="126"/>
      <c r="H6" s="126"/>
      <c r="I6" s="126"/>
      <c r="J6" s="126"/>
    </row>
    <row r="7" spans="2:15" ht="15.75" thickBot="1" x14ac:dyDescent="0.3">
      <c r="B7" s="127" t="s">
        <v>481</v>
      </c>
      <c r="C7" s="127"/>
      <c r="D7" s="127"/>
      <c r="E7" s="127"/>
      <c r="F7" s="127"/>
      <c r="G7" s="127"/>
      <c r="H7" s="127"/>
      <c r="I7" s="127"/>
      <c r="J7" s="127"/>
      <c r="N7">
        <f>13*4</f>
        <v>52</v>
      </c>
    </row>
    <row r="8" spans="2:15" ht="22.5" customHeight="1" x14ac:dyDescent="0.25">
      <c r="B8" s="121" t="s">
        <v>491</v>
      </c>
      <c r="C8" s="121"/>
      <c r="D8" s="121"/>
      <c r="E8" s="121"/>
      <c r="F8" s="121"/>
      <c r="G8" s="121"/>
      <c r="H8" s="121"/>
      <c r="I8" s="121"/>
      <c r="J8" s="121"/>
      <c r="N8">
        <f>13*6</f>
        <v>78</v>
      </c>
    </row>
    <row r="9" spans="2:15" x14ac:dyDescent="0.25">
      <c r="B9" s="122" t="s">
        <v>0</v>
      </c>
      <c r="C9" s="123" t="s">
        <v>1</v>
      </c>
      <c r="D9" s="123"/>
      <c r="E9" s="123"/>
      <c r="F9" s="123"/>
      <c r="G9" s="112" t="s">
        <v>2</v>
      </c>
      <c r="H9" s="112"/>
      <c r="I9" s="112"/>
      <c r="J9" s="112"/>
    </row>
    <row r="10" spans="2:15" x14ac:dyDescent="0.25">
      <c r="B10" s="122"/>
      <c r="C10" s="2" t="s">
        <v>3</v>
      </c>
      <c r="D10" s="3" t="s">
        <v>4</v>
      </c>
      <c r="E10" s="3" t="s">
        <v>5</v>
      </c>
      <c r="F10" s="3" t="s">
        <v>6</v>
      </c>
      <c r="G10" s="2" t="s">
        <v>3</v>
      </c>
      <c r="H10" s="3" t="s">
        <v>4</v>
      </c>
      <c r="I10" s="3" t="s">
        <v>5</v>
      </c>
      <c r="J10" s="4" t="s">
        <v>6</v>
      </c>
      <c r="K10">
        <v>1.82</v>
      </c>
    </row>
    <row r="11" spans="2:15" ht="30" x14ac:dyDescent="0.25">
      <c r="B11" s="124"/>
      <c r="C11" s="5" t="s">
        <v>75</v>
      </c>
      <c r="D11" s="26">
        <v>400</v>
      </c>
      <c r="E11" s="7">
        <v>30000</v>
      </c>
      <c r="F11" s="8">
        <f>D11*E11</f>
        <v>12000000</v>
      </c>
      <c r="G11" s="9" t="s">
        <v>7</v>
      </c>
      <c r="H11" s="19">
        <v>10</v>
      </c>
      <c r="I11" s="32">
        <v>270000</v>
      </c>
      <c r="J11" s="10">
        <f t="shared" ref="J11:J16" si="0">H11*I11</f>
        <v>2700000</v>
      </c>
      <c r="K11">
        <v>1.93</v>
      </c>
    </row>
    <row r="12" spans="2:15" x14ac:dyDescent="0.25">
      <c r="B12" s="124"/>
      <c r="C12" s="11"/>
      <c r="D12" s="25"/>
      <c r="E12" s="13"/>
      <c r="F12" s="8"/>
      <c r="G12" s="9" t="s">
        <v>9</v>
      </c>
      <c r="H12" s="19">
        <v>6</v>
      </c>
      <c r="I12" s="27">
        <v>35000</v>
      </c>
      <c r="J12" s="15">
        <f t="shared" si="0"/>
        <v>210000</v>
      </c>
      <c r="K12">
        <v>1.22</v>
      </c>
      <c r="L12">
        <v>100</v>
      </c>
      <c r="N12">
        <f>L24*3</f>
        <v>4701</v>
      </c>
      <c r="O12" t="s">
        <v>482</v>
      </c>
    </row>
    <row r="13" spans="2:15" x14ac:dyDescent="0.25">
      <c r="B13" s="124"/>
      <c r="C13" s="5"/>
      <c r="D13" s="6"/>
      <c r="E13" s="7"/>
      <c r="F13" s="8">
        <f>D13*E13</f>
        <v>0</v>
      </c>
      <c r="G13" s="16" t="s">
        <v>10</v>
      </c>
      <c r="H13" s="19">
        <v>80</v>
      </c>
      <c r="I13" s="27">
        <v>5000</v>
      </c>
      <c r="J13" s="15">
        <f t="shared" si="0"/>
        <v>400000</v>
      </c>
      <c r="K13">
        <v>9.48</v>
      </c>
      <c r="L13">
        <v>98</v>
      </c>
    </row>
    <row r="14" spans="2:15" x14ac:dyDescent="0.25">
      <c r="B14" s="124"/>
      <c r="C14" s="5"/>
      <c r="D14" s="6"/>
      <c r="E14" s="7"/>
      <c r="F14" s="8">
        <f>D14*E14</f>
        <v>0</v>
      </c>
      <c r="G14" s="16" t="s">
        <v>11</v>
      </c>
      <c r="H14" s="19">
        <v>2</v>
      </c>
      <c r="I14" s="27">
        <v>60000</v>
      </c>
      <c r="J14" s="15">
        <f t="shared" si="0"/>
        <v>120000</v>
      </c>
      <c r="L14">
        <v>94</v>
      </c>
      <c r="N14">
        <v>224</v>
      </c>
      <c r="O14" t="s">
        <v>485</v>
      </c>
    </row>
    <row r="15" spans="2:15" x14ac:dyDescent="0.25">
      <c r="B15" s="124"/>
      <c r="C15" s="5"/>
      <c r="D15" s="6"/>
      <c r="E15" s="7"/>
      <c r="F15" s="8">
        <f t="shared" ref="F15:F18" si="1">D15*E15</f>
        <v>0</v>
      </c>
      <c r="G15" s="16" t="s">
        <v>65</v>
      </c>
      <c r="H15" s="19">
        <v>11</v>
      </c>
      <c r="I15" s="27">
        <v>38000</v>
      </c>
      <c r="J15" s="15">
        <f t="shared" si="0"/>
        <v>418000</v>
      </c>
      <c r="K15" s="33"/>
      <c r="L15">
        <v>55</v>
      </c>
    </row>
    <row r="16" spans="2:15" ht="16.5" x14ac:dyDescent="0.3">
      <c r="B16" s="124"/>
      <c r="C16" s="68"/>
      <c r="D16" s="6"/>
      <c r="E16" s="81"/>
      <c r="F16" s="8">
        <f t="shared" si="1"/>
        <v>0</v>
      </c>
      <c r="G16" s="17" t="s">
        <v>66</v>
      </c>
      <c r="H16" s="19">
        <v>11</v>
      </c>
      <c r="I16" s="28">
        <v>6000</v>
      </c>
      <c r="J16" s="15">
        <f t="shared" si="0"/>
        <v>66000</v>
      </c>
      <c r="L16">
        <v>236</v>
      </c>
      <c r="N16">
        <f>L24*2</f>
        <v>3134</v>
      </c>
      <c r="O16" t="s">
        <v>484</v>
      </c>
    </row>
    <row r="17" spans="2:15" ht="16.5" x14ac:dyDescent="0.3">
      <c r="B17" s="124"/>
      <c r="C17" s="5"/>
      <c r="D17" s="6"/>
      <c r="E17" s="7"/>
      <c r="F17" s="8">
        <f t="shared" si="1"/>
        <v>0</v>
      </c>
      <c r="G17" s="68"/>
      <c r="H17" s="14"/>
      <c r="I17" s="44"/>
      <c r="J17" s="15"/>
      <c r="L17">
        <v>46</v>
      </c>
    </row>
    <row r="18" spans="2:15" ht="15.75" x14ac:dyDescent="0.25">
      <c r="B18" s="124"/>
      <c r="C18" s="5"/>
      <c r="D18" s="6"/>
      <c r="E18" s="7"/>
      <c r="F18" s="8">
        <f t="shared" si="1"/>
        <v>0</v>
      </c>
      <c r="G18" s="102"/>
      <c r="H18" s="14"/>
      <c r="I18" s="28"/>
      <c r="J18" s="15"/>
      <c r="K18" s="33"/>
      <c r="L18">
        <v>56</v>
      </c>
    </row>
    <row r="19" spans="2:15" x14ac:dyDescent="0.25">
      <c r="B19" s="113" t="s">
        <v>12</v>
      </c>
      <c r="C19" s="113"/>
      <c r="D19" s="113"/>
      <c r="E19" s="113"/>
      <c r="F19" s="114">
        <f>SUM(F11:F18)</f>
        <v>12000000</v>
      </c>
      <c r="G19" s="115" t="s">
        <v>12</v>
      </c>
      <c r="H19" s="115"/>
      <c r="I19" s="115"/>
      <c r="J19" s="116">
        <f>SUM(J11:J18)</f>
        <v>3914000</v>
      </c>
      <c r="L19">
        <v>99</v>
      </c>
      <c r="N19">
        <v>15</v>
      </c>
      <c r="O19" t="s">
        <v>486</v>
      </c>
    </row>
    <row r="20" spans="2:15" ht="15.75" thickBot="1" x14ac:dyDescent="0.3">
      <c r="B20" s="113"/>
      <c r="C20" s="113"/>
      <c r="D20" s="113"/>
      <c r="E20" s="113"/>
      <c r="F20" s="114"/>
      <c r="G20" s="115"/>
      <c r="H20" s="115"/>
      <c r="I20" s="115"/>
      <c r="J20" s="116"/>
      <c r="L20">
        <v>171</v>
      </c>
    </row>
    <row r="21" spans="2:15" ht="15" customHeight="1" x14ac:dyDescent="0.25">
      <c r="B21" s="121" t="s">
        <v>449</v>
      </c>
      <c r="C21" s="121"/>
      <c r="D21" s="121"/>
      <c r="E21" s="121"/>
      <c r="F21" s="121"/>
      <c r="G21" s="121"/>
      <c r="H21" s="121"/>
      <c r="I21" s="121"/>
      <c r="J21" s="121"/>
      <c r="L21">
        <v>90</v>
      </c>
      <c r="N21">
        <v>157</v>
      </c>
      <c r="O21" t="s">
        <v>487</v>
      </c>
    </row>
    <row r="22" spans="2:15" x14ac:dyDescent="0.25">
      <c r="B22" s="122" t="s">
        <v>0</v>
      </c>
      <c r="C22" s="123" t="s">
        <v>1</v>
      </c>
      <c r="D22" s="123"/>
      <c r="E22" s="123"/>
      <c r="F22" s="123"/>
      <c r="G22" s="112" t="s">
        <v>2</v>
      </c>
      <c r="H22" s="112"/>
      <c r="I22" s="112"/>
      <c r="J22" s="112"/>
      <c r="L22">
        <v>87</v>
      </c>
    </row>
    <row r="23" spans="2:15" x14ac:dyDescent="0.25">
      <c r="B23" s="122"/>
      <c r="C23" s="2" t="s">
        <v>3</v>
      </c>
      <c r="D23" s="3" t="s">
        <v>4</v>
      </c>
      <c r="E23" s="3" t="s">
        <v>5</v>
      </c>
      <c r="F23" s="3" t="s">
        <v>6</v>
      </c>
      <c r="G23" s="2" t="s">
        <v>3</v>
      </c>
      <c r="H23" s="3" t="s">
        <v>4</v>
      </c>
      <c r="I23" s="3" t="s">
        <v>5</v>
      </c>
      <c r="J23" s="4" t="s">
        <v>6</v>
      </c>
      <c r="L23">
        <v>435</v>
      </c>
      <c r="N23">
        <f>N21+N19+N14</f>
        <v>396</v>
      </c>
      <c r="O23" t="s">
        <v>488</v>
      </c>
    </row>
    <row r="24" spans="2:15" ht="30" customHeight="1" x14ac:dyDescent="0.25">
      <c r="B24" s="125" t="s">
        <v>13</v>
      </c>
      <c r="C24" s="5" t="s">
        <v>14</v>
      </c>
      <c r="D24" s="6">
        <v>1</v>
      </c>
      <c r="E24" s="7">
        <v>2000000</v>
      </c>
      <c r="F24" s="8">
        <f t="shared" ref="F24:F47" si="2">D24*E24</f>
        <v>2000000</v>
      </c>
      <c r="G24" s="9" t="s">
        <v>15</v>
      </c>
      <c r="H24" s="93">
        <v>1</v>
      </c>
      <c r="I24" s="7">
        <v>1088000</v>
      </c>
      <c r="J24" s="15">
        <f t="shared" ref="J24:J59" si="3">H24*I24</f>
        <v>1088000</v>
      </c>
      <c r="L24">
        <f>SUM(L12:L23)</f>
        <v>1567</v>
      </c>
      <c r="M24" t="s">
        <v>483</v>
      </c>
    </row>
    <row r="25" spans="2:15" x14ac:dyDescent="0.25">
      <c r="B25" s="125"/>
      <c r="C25" s="11" t="s">
        <v>8</v>
      </c>
      <c r="D25" s="12">
        <v>15</v>
      </c>
      <c r="E25" s="13">
        <v>90000</v>
      </c>
      <c r="F25" s="8">
        <f t="shared" si="2"/>
        <v>1350000</v>
      </c>
      <c r="G25" s="17" t="s">
        <v>16</v>
      </c>
      <c r="H25" s="14">
        <v>2</v>
      </c>
      <c r="I25" s="18">
        <v>35000</v>
      </c>
      <c r="J25" s="15">
        <f t="shared" si="3"/>
        <v>70000</v>
      </c>
      <c r="N25">
        <f>N14*3</f>
        <v>672</v>
      </c>
      <c r="O25" t="s">
        <v>489</v>
      </c>
    </row>
    <row r="26" spans="2:15" x14ac:dyDescent="0.25">
      <c r="B26" s="125"/>
      <c r="C26" s="11"/>
      <c r="D26" s="12"/>
      <c r="E26" s="13"/>
      <c r="F26" s="8"/>
      <c r="G26" s="17" t="s">
        <v>86</v>
      </c>
      <c r="H26" s="14">
        <v>2</v>
      </c>
      <c r="I26" s="18">
        <v>45000</v>
      </c>
      <c r="J26" s="15">
        <f t="shared" si="3"/>
        <v>90000</v>
      </c>
      <c r="N26">
        <f>N21*2</f>
        <v>314</v>
      </c>
      <c r="O26" t="s">
        <v>490</v>
      </c>
    </row>
    <row r="27" spans="2:15" x14ac:dyDescent="0.25">
      <c r="B27" s="125"/>
      <c r="C27" s="5"/>
      <c r="D27" s="6"/>
      <c r="E27" s="7"/>
      <c r="F27" s="8">
        <f t="shared" si="2"/>
        <v>0</v>
      </c>
      <c r="G27" s="17" t="s">
        <v>17</v>
      </c>
      <c r="H27" s="14">
        <v>1</v>
      </c>
      <c r="I27" s="18">
        <v>1333</v>
      </c>
      <c r="J27" s="15">
        <f t="shared" si="3"/>
        <v>1333</v>
      </c>
    </row>
    <row r="28" spans="2:15" ht="15" customHeight="1" x14ac:dyDescent="0.25">
      <c r="B28" s="125"/>
      <c r="C28" s="11" t="s">
        <v>340</v>
      </c>
      <c r="D28" s="11">
        <v>1</v>
      </c>
      <c r="E28" s="8">
        <v>300000</v>
      </c>
      <c r="F28" s="8">
        <f t="shared" si="2"/>
        <v>300000</v>
      </c>
      <c r="G28" s="17" t="s">
        <v>18</v>
      </c>
      <c r="H28" s="14">
        <v>2</v>
      </c>
      <c r="I28" s="18">
        <v>32000</v>
      </c>
      <c r="J28" s="15">
        <f t="shared" si="3"/>
        <v>64000</v>
      </c>
    </row>
    <row r="29" spans="2:15" ht="15" customHeight="1" x14ac:dyDescent="0.25">
      <c r="B29" s="125"/>
      <c r="C29" s="11"/>
      <c r="D29" s="11"/>
      <c r="E29" s="11"/>
      <c r="F29" s="8"/>
      <c r="G29" s="17" t="s">
        <v>325</v>
      </c>
      <c r="H29" s="14">
        <v>1</v>
      </c>
      <c r="I29" s="18">
        <v>40000</v>
      </c>
      <c r="J29" s="15">
        <f t="shared" si="3"/>
        <v>40000</v>
      </c>
      <c r="L29">
        <f>SUM(L14:L28)</f>
        <v>2936</v>
      </c>
    </row>
    <row r="30" spans="2:15" x14ac:dyDescent="0.25">
      <c r="B30" s="125"/>
      <c r="C30" s="5"/>
      <c r="D30" s="6"/>
      <c r="E30" s="7"/>
      <c r="F30" s="8">
        <f t="shared" si="2"/>
        <v>0</v>
      </c>
      <c r="G30" s="17" t="s">
        <v>19</v>
      </c>
      <c r="H30" s="14">
        <v>1</v>
      </c>
      <c r="I30" s="18">
        <v>11000</v>
      </c>
      <c r="J30" s="15">
        <f t="shared" si="3"/>
        <v>11000</v>
      </c>
    </row>
    <row r="31" spans="2:15" x14ac:dyDescent="0.25">
      <c r="B31" s="125"/>
      <c r="C31" s="5"/>
      <c r="D31" s="6"/>
      <c r="E31" s="7"/>
      <c r="F31" s="8"/>
      <c r="G31" s="17" t="s">
        <v>88</v>
      </c>
      <c r="H31" s="14">
        <v>2</v>
      </c>
      <c r="I31" s="18">
        <v>13000</v>
      </c>
      <c r="J31" s="15">
        <f t="shared" si="3"/>
        <v>26000</v>
      </c>
    </row>
    <row r="32" spans="2:15" x14ac:dyDescent="0.25">
      <c r="B32" s="125"/>
      <c r="C32" s="5"/>
      <c r="D32" s="6"/>
      <c r="E32" s="7"/>
      <c r="F32" s="8"/>
      <c r="G32" s="17" t="s">
        <v>403</v>
      </c>
      <c r="H32" s="14">
        <v>3</v>
      </c>
      <c r="I32" s="18">
        <v>5900</v>
      </c>
      <c r="J32" s="15">
        <f t="shared" si="3"/>
        <v>17700</v>
      </c>
      <c r="L32">
        <v>229</v>
      </c>
    </row>
    <row r="33" spans="2:13" x14ac:dyDescent="0.25">
      <c r="B33" s="125"/>
      <c r="C33" s="5"/>
      <c r="D33" s="6"/>
      <c r="E33" s="7"/>
      <c r="F33" s="8">
        <f t="shared" si="2"/>
        <v>0</v>
      </c>
      <c r="G33" s="17" t="s">
        <v>20</v>
      </c>
      <c r="H33" s="14">
        <v>2</v>
      </c>
      <c r="I33" s="18">
        <v>2000</v>
      </c>
      <c r="J33" s="15">
        <f t="shared" si="3"/>
        <v>4000</v>
      </c>
      <c r="L33">
        <v>677</v>
      </c>
    </row>
    <row r="34" spans="2:13" x14ac:dyDescent="0.25">
      <c r="B34" s="125"/>
      <c r="C34" s="5"/>
      <c r="D34" s="6"/>
      <c r="E34" s="7"/>
      <c r="F34" s="8"/>
      <c r="G34" s="17" t="s">
        <v>79</v>
      </c>
      <c r="H34" s="14">
        <v>5</v>
      </c>
      <c r="I34" s="18">
        <v>5000</v>
      </c>
      <c r="J34" s="15">
        <f t="shared" si="3"/>
        <v>25000</v>
      </c>
      <c r="L34">
        <v>66</v>
      </c>
    </row>
    <row r="35" spans="2:13" x14ac:dyDescent="0.25">
      <c r="B35" s="125"/>
      <c r="C35" s="5"/>
      <c r="D35" s="6"/>
      <c r="E35" s="7"/>
      <c r="F35" s="8">
        <f t="shared" si="2"/>
        <v>0</v>
      </c>
      <c r="G35" s="17" t="s">
        <v>21</v>
      </c>
      <c r="H35" s="14">
        <v>2</v>
      </c>
      <c r="I35" s="18">
        <v>1333</v>
      </c>
      <c r="J35" s="15">
        <f t="shared" si="3"/>
        <v>2666</v>
      </c>
      <c r="L35">
        <v>123</v>
      </c>
    </row>
    <row r="36" spans="2:13" x14ac:dyDescent="0.25">
      <c r="B36" s="125"/>
      <c r="C36" s="5"/>
      <c r="D36" s="6"/>
      <c r="E36" s="7"/>
      <c r="F36" s="8">
        <f t="shared" si="2"/>
        <v>0</v>
      </c>
      <c r="G36" s="17" t="s">
        <v>22</v>
      </c>
      <c r="H36" s="19">
        <v>20</v>
      </c>
      <c r="I36" s="18">
        <v>4000</v>
      </c>
      <c r="J36" s="15">
        <f t="shared" si="3"/>
        <v>80000</v>
      </c>
      <c r="L36">
        <f>SUM(L32:L35)</f>
        <v>1095</v>
      </c>
      <c r="M36" t="s">
        <v>492</v>
      </c>
    </row>
    <row r="37" spans="2:13" x14ac:dyDescent="0.25">
      <c r="B37" s="125"/>
      <c r="C37" s="5"/>
      <c r="D37" s="6"/>
      <c r="E37" s="7"/>
      <c r="F37" s="8"/>
      <c r="G37" s="17" t="s">
        <v>69</v>
      </c>
      <c r="H37" s="19">
        <v>4</v>
      </c>
      <c r="I37" s="18">
        <v>3000</v>
      </c>
      <c r="J37" s="15">
        <f t="shared" si="3"/>
        <v>12000</v>
      </c>
    </row>
    <row r="38" spans="2:13" x14ac:dyDescent="0.25">
      <c r="B38" s="125"/>
      <c r="C38" s="5"/>
      <c r="D38" s="6"/>
      <c r="E38" s="7"/>
      <c r="F38" s="8"/>
      <c r="G38" s="17" t="s">
        <v>23</v>
      </c>
      <c r="H38" s="14">
        <v>6</v>
      </c>
      <c r="I38" s="18">
        <v>2000</v>
      </c>
      <c r="J38" s="15">
        <f t="shared" si="3"/>
        <v>12000</v>
      </c>
    </row>
    <row r="39" spans="2:13" ht="15.75" x14ac:dyDescent="0.25">
      <c r="B39" s="125"/>
      <c r="C39" s="5"/>
      <c r="D39" s="6"/>
      <c r="E39" s="7"/>
      <c r="F39" s="8"/>
      <c r="G39" s="92" t="s">
        <v>358</v>
      </c>
      <c r="H39" s="14">
        <v>3</v>
      </c>
      <c r="I39" s="18"/>
      <c r="J39" s="15"/>
    </row>
    <row r="40" spans="2:13" ht="30" x14ac:dyDescent="0.25">
      <c r="B40" s="125"/>
      <c r="C40" s="5"/>
      <c r="D40" s="6"/>
      <c r="E40" s="7"/>
      <c r="F40" s="8">
        <f t="shared" si="2"/>
        <v>0</v>
      </c>
      <c r="G40" s="17" t="s">
        <v>24</v>
      </c>
      <c r="H40" s="19">
        <v>11</v>
      </c>
      <c r="I40" s="30">
        <v>146667</v>
      </c>
      <c r="J40" s="10">
        <f t="shared" si="3"/>
        <v>1613337</v>
      </c>
    </row>
    <row r="41" spans="2:13" ht="30" x14ac:dyDescent="0.25">
      <c r="B41" s="125"/>
      <c r="C41" s="5"/>
      <c r="D41" s="6"/>
      <c r="E41" s="7"/>
      <c r="F41" s="8"/>
      <c r="G41" s="17" t="s">
        <v>70</v>
      </c>
      <c r="H41" s="69">
        <v>3</v>
      </c>
      <c r="I41" s="30">
        <v>200000</v>
      </c>
      <c r="J41" s="10">
        <f t="shared" si="3"/>
        <v>600000</v>
      </c>
    </row>
    <row r="42" spans="2:13" x14ac:dyDescent="0.25">
      <c r="B42" s="125"/>
      <c r="C42" s="5"/>
      <c r="D42" s="6"/>
      <c r="E42" s="7"/>
      <c r="F42" s="8">
        <f t="shared" si="2"/>
        <v>0</v>
      </c>
      <c r="G42" s="17" t="s">
        <v>25</v>
      </c>
      <c r="H42" s="14">
        <v>7</v>
      </c>
      <c r="I42" s="18">
        <v>2000</v>
      </c>
      <c r="J42" s="15">
        <f t="shared" si="3"/>
        <v>14000</v>
      </c>
    </row>
    <row r="43" spans="2:13" x14ac:dyDescent="0.25">
      <c r="B43" s="125"/>
      <c r="C43" s="5"/>
      <c r="D43" s="6"/>
      <c r="E43" s="7"/>
      <c r="F43" s="8">
        <f t="shared" si="2"/>
        <v>0</v>
      </c>
      <c r="G43" s="17" t="s">
        <v>26</v>
      </c>
      <c r="H43" s="19">
        <v>4</v>
      </c>
      <c r="I43" s="18">
        <v>1333</v>
      </c>
      <c r="J43" s="15">
        <f t="shared" si="3"/>
        <v>5332</v>
      </c>
    </row>
    <row r="44" spans="2:13" x14ac:dyDescent="0.25">
      <c r="B44" s="125"/>
      <c r="C44" s="5"/>
      <c r="D44" s="6"/>
      <c r="E44" s="7"/>
      <c r="F44" s="8">
        <f t="shared" si="2"/>
        <v>0</v>
      </c>
      <c r="G44" s="17" t="s">
        <v>27</v>
      </c>
      <c r="H44" s="19">
        <v>8</v>
      </c>
      <c r="I44" s="18">
        <v>38000</v>
      </c>
      <c r="J44" s="15">
        <f t="shared" si="3"/>
        <v>304000</v>
      </c>
    </row>
    <row r="45" spans="2:13" x14ac:dyDescent="0.25">
      <c r="B45" s="125"/>
      <c r="C45" s="5"/>
      <c r="D45" s="6"/>
      <c r="E45" s="7"/>
      <c r="F45" s="8">
        <f t="shared" si="2"/>
        <v>0</v>
      </c>
      <c r="G45" s="17" t="s">
        <v>28</v>
      </c>
      <c r="H45" s="19">
        <v>10</v>
      </c>
      <c r="I45" s="18">
        <v>2700</v>
      </c>
      <c r="J45" s="15">
        <f t="shared" si="3"/>
        <v>27000</v>
      </c>
    </row>
    <row r="46" spans="2:13" x14ac:dyDescent="0.25">
      <c r="B46" s="125"/>
      <c r="C46" s="5"/>
      <c r="D46" s="6"/>
      <c r="E46" s="7"/>
      <c r="F46" s="8"/>
      <c r="G46" s="17" t="s">
        <v>402</v>
      </c>
      <c r="H46" s="19">
        <v>2</v>
      </c>
      <c r="I46" s="18">
        <v>2700</v>
      </c>
      <c r="J46" s="15">
        <f t="shared" si="3"/>
        <v>5400</v>
      </c>
    </row>
    <row r="47" spans="2:13" x14ac:dyDescent="0.25">
      <c r="B47" s="125"/>
      <c r="C47" s="5"/>
      <c r="D47" s="6"/>
      <c r="E47" s="7"/>
      <c r="F47" s="8">
        <f t="shared" si="2"/>
        <v>0</v>
      </c>
      <c r="G47" s="17" t="s">
        <v>80</v>
      </c>
      <c r="H47" s="14">
        <v>2</v>
      </c>
      <c r="I47" s="18">
        <v>16000</v>
      </c>
      <c r="J47" s="15">
        <f t="shared" si="3"/>
        <v>32000</v>
      </c>
    </row>
    <row r="48" spans="2:13" x14ac:dyDescent="0.25">
      <c r="B48" s="125"/>
      <c r="C48" s="5"/>
      <c r="D48" s="6"/>
      <c r="E48" s="7"/>
      <c r="F48" s="8"/>
      <c r="G48" s="17" t="s">
        <v>29</v>
      </c>
      <c r="H48" s="14">
        <v>4</v>
      </c>
      <c r="I48" s="18">
        <v>533</v>
      </c>
      <c r="J48" s="15">
        <f t="shared" si="3"/>
        <v>2132</v>
      </c>
    </row>
    <row r="49" spans="2:10" x14ac:dyDescent="0.25">
      <c r="B49" s="125"/>
      <c r="C49" s="5"/>
      <c r="D49" s="6"/>
      <c r="E49" s="7"/>
      <c r="F49" s="8"/>
      <c r="G49" s="17" t="s">
        <v>30</v>
      </c>
      <c r="H49" s="14">
        <v>4</v>
      </c>
      <c r="I49" s="18">
        <v>533</v>
      </c>
      <c r="J49" s="15">
        <f t="shared" si="3"/>
        <v>2132</v>
      </c>
    </row>
    <row r="50" spans="2:10" x14ac:dyDescent="0.25">
      <c r="B50" s="125"/>
      <c r="C50" s="5"/>
      <c r="D50" s="6"/>
      <c r="E50" s="7"/>
      <c r="F50" s="8"/>
      <c r="G50" s="17" t="s">
        <v>326</v>
      </c>
      <c r="H50" s="14">
        <v>1</v>
      </c>
      <c r="I50" s="18">
        <v>5000</v>
      </c>
      <c r="J50" s="15">
        <f t="shared" si="3"/>
        <v>5000</v>
      </c>
    </row>
    <row r="51" spans="2:10" x14ac:dyDescent="0.25">
      <c r="B51" s="125"/>
      <c r="C51" s="5"/>
      <c r="D51" s="6"/>
      <c r="E51" s="7"/>
      <c r="F51" s="8"/>
      <c r="G51" s="17" t="s">
        <v>327</v>
      </c>
      <c r="H51" s="14">
        <v>1</v>
      </c>
      <c r="I51" s="18">
        <v>5000</v>
      </c>
      <c r="J51" s="15">
        <f t="shared" si="3"/>
        <v>5000</v>
      </c>
    </row>
    <row r="52" spans="2:10" x14ac:dyDescent="0.25">
      <c r="B52" s="125"/>
      <c r="C52" s="5"/>
      <c r="D52" s="6"/>
      <c r="E52" s="7"/>
      <c r="F52" s="8"/>
      <c r="G52" s="17" t="s">
        <v>328</v>
      </c>
      <c r="H52" s="14">
        <v>1</v>
      </c>
      <c r="I52" s="18">
        <v>3000</v>
      </c>
      <c r="J52" s="15">
        <f t="shared" si="3"/>
        <v>3000</v>
      </c>
    </row>
    <row r="53" spans="2:10" x14ac:dyDescent="0.25">
      <c r="B53" s="125"/>
      <c r="C53" s="5"/>
      <c r="D53" s="6"/>
      <c r="E53" s="7"/>
      <c r="F53" s="8"/>
      <c r="G53" s="17" t="s">
        <v>31</v>
      </c>
      <c r="H53" s="14">
        <v>4</v>
      </c>
      <c r="I53" s="18">
        <v>3000</v>
      </c>
      <c r="J53" s="15">
        <f t="shared" si="3"/>
        <v>12000</v>
      </c>
    </row>
    <row r="54" spans="2:10" x14ac:dyDescent="0.25">
      <c r="B54" s="125"/>
      <c r="C54" s="5"/>
      <c r="D54" s="6"/>
      <c r="E54" s="7"/>
      <c r="F54" s="8">
        <f>D54*E54</f>
        <v>0</v>
      </c>
      <c r="G54" s="17" t="s">
        <v>400</v>
      </c>
      <c r="H54" s="14">
        <v>10</v>
      </c>
      <c r="I54" s="18">
        <v>5333</v>
      </c>
      <c r="J54" s="15">
        <f t="shared" si="3"/>
        <v>53330</v>
      </c>
    </row>
    <row r="55" spans="2:10" x14ac:dyDescent="0.25">
      <c r="B55" s="125"/>
      <c r="C55" s="5"/>
      <c r="D55" s="6"/>
      <c r="E55" s="7"/>
      <c r="F55" s="8"/>
      <c r="G55" s="17" t="s">
        <v>32</v>
      </c>
      <c r="H55" s="14">
        <v>1</v>
      </c>
      <c r="I55" s="18">
        <v>160000</v>
      </c>
      <c r="J55" s="15">
        <f t="shared" si="3"/>
        <v>160000</v>
      </c>
    </row>
    <row r="56" spans="2:10" ht="15.75" customHeight="1" x14ac:dyDescent="0.25">
      <c r="B56" s="125"/>
      <c r="C56" s="5"/>
      <c r="D56" s="6"/>
      <c r="E56" s="7"/>
      <c r="F56" s="8"/>
      <c r="G56" s="16" t="s">
        <v>33</v>
      </c>
      <c r="H56" s="14">
        <v>2</v>
      </c>
      <c r="I56" s="18">
        <v>53333</v>
      </c>
      <c r="J56" s="15">
        <f t="shared" si="3"/>
        <v>106666</v>
      </c>
    </row>
    <row r="57" spans="2:10" ht="33" customHeight="1" x14ac:dyDescent="0.25">
      <c r="B57" s="125"/>
      <c r="C57" s="5"/>
      <c r="D57" s="6"/>
      <c r="E57" s="7"/>
      <c r="F57" s="8"/>
      <c r="G57" s="16" t="s">
        <v>78</v>
      </c>
      <c r="H57" s="14">
        <v>1</v>
      </c>
      <c r="I57" s="18">
        <v>3633300</v>
      </c>
      <c r="J57" s="15">
        <f t="shared" si="3"/>
        <v>3633300</v>
      </c>
    </row>
    <row r="58" spans="2:10" ht="30" x14ac:dyDescent="0.25">
      <c r="B58" s="125"/>
      <c r="C58" s="5"/>
      <c r="D58" s="6"/>
      <c r="E58" s="7"/>
      <c r="F58" s="8"/>
      <c r="G58" s="16" t="s">
        <v>510</v>
      </c>
      <c r="H58" s="14">
        <v>2</v>
      </c>
      <c r="I58" s="18"/>
      <c r="J58" s="15"/>
    </row>
    <row r="59" spans="2:10" x14ac:dyDescent="0.25">
      <c r="B59" s="125"/>
      <c r="C59" s="5"/>
      <c r="D59" s="6"/>
      <c r="E59" s="7"/>
      <c r="F59" s="8"/>
      <c r="G59" s="17" t="s">
        <v>34</v>
      </c>
      <c r="H59" s="14">
        <v>20</v>
      </c>
      <c r="I59" s="18">
        <v>20000</v>
      </c>
      <c r="J59" s="15">
        <f t="shared" si="3"/>
        <v>400000</v>
      </c>
    </row>
    <row r="60" spans="2:10" x14ac:dyDescent="0.25">
      <c r="B60" s="113" t="s">
        <v>12</v>
      </c>
      <c r="C60" s="113"/>
      <c r="D60" s="113"/>
      <c r="E60" s="113"/>
      <c r="F60" s="114">
        <f>SUM(F24:F55)</f>
        <v>3650000</v>
      </c>
      <c r="G60" s="115" t="s">
        <v>12</v>
      </c>
      <c r="H60" s="115"/>
      <c r="I60" s="115"/>
      <c r="J60" s="116">
        <f>SUM(J24:J59)</f>
        <v>8527328</v>
      </c>
    </row>
    <row r="61" spans="2:10" ht="15.75" thickBot="1" x14ac:dyDescent="0.3">
      <c r="B61" s="113"/>
      <c r="C61" s="113"/>
      <c r="D61" s="113"/>
      <c r="E61" s="113"/>
      <c r="F61" s="114"/>
      <c r="G61" s="115"/>
      <c r="H61" s="115"/>
      <c r="I61" s="115"/>
      <c r="J61" s="116"/>
    </row>
    <row r="62" spans="2:10" ht="15" customHeight="1" x14ac:dyDescent="0.25">
      <c r="B62" s="121" t="s">
        <v>494</v>
      </c>
      <c r="C62" s="121"/>
      <c r="D62" s="121"/>
      <c r="E62" s="121"/>
      <c r="F62" s="121"/>
      <c r="G62" s="121"/>
      <c r="H62" s="121"/>
      <c r="I62" s="121"/>
      <c r="J62" s="121"/>
    </row>
    <row r="63" spans="2:10" x14ac:dyDescent="0.25">
      <c r="B63" s="122" t="s">
        <v>0</v>
      </c>
      <c r="C63" s="123" t="s">
        <v>1</v>
      </c>
      <c r="D63" s="123"/>
      <c r="E63" s="123"/>
      <c r="F63" s="123"/>
      <c r="G63" s="112" t="s">
        <v>2</v>
      </c>
      <c r="H63" s="112"/>
      <c r="I63" s="112"/>
      <c r="J63" s="112"/>
    </row>
    <row r="64" spans="2:10" x14ac:dyDescent="0.25">
      <c r="B64" s="122"/>
      <c r="C64" s="2" t="s">
        <v>3</v>
      </c>
      <c r="D64" s="3" t="s">
        <v>4</v>
      </c>
      <c r="E64" s="3" t="s">
        <v>5</v>
      </c>
      <c r="F64" s="3" t="s">
        <v>6</v>
      </c>
      <c r="G64" s="2" t="s">
        <v>3</v>
      </c>
      <c r="H64" s="3" t="s">
        <v>4</v>
      </c>
      <c r="I64" s="3" t="s">
        <v>5</v>
      </c>
      <c r="J64" s="4" t="s">
        <v>6</v>
      </c>
    </row>
    <row r="65" spans="1:13" x14ac:dyDescent="0.25">
      <c r="B65" s="2"/>
      <c r="C65" s="2"/>
      <c r="D65" s="3"/>
      <c r="E65" s="3"/>
      <c r="F65" s="21"/>
      <c r="G65" s="96" t="s">
        <v>420</v>
      </c>
      <c r="H65" s="72">
        <v>105</v>
      </c>
      <c r="I65" s="18">
        <v>1500</v>
      </c>
      <c r="J65" s="15">
        <f t="shared" ref="J65:J67" si="4">H65*I65</f>
        <v>157500</v>
      </c>
    </row>
    <row r="66" spans="1:13" x14ac:dyDescent="0.25">
      <c r="B66" s="20"/>
      <c r="C66" s="5" t="s">
        <v>8</v>
      </c>
      <c r="D66" s="6">
        <v>5</v>
      </c>
      <c r="E66" s="7">
        <v>90000</v>
      </c>
      <c r="F66" s="8">
        <f>D66*E66</f>
        <v>450000</v>
      </c>
      <c r="G66" s="97" t="s">
        <v>36</v>
      </c>
      <c r="H66" s="72">
        <v>105</v>
      </c>
      <c r="I66" s="18">
        <v>1500</v>
      </c>
      <c r="J66" s="15">
        <f t="shared" si="4"/>
        <v>157500</v>
      </c>
    </row>
    <row r="67" spans="1:13" x14ac:dyDescent="0.25">
      <c r="B67" s="20"/>
      <c r="C67" s="5"/>
      <c r="D67" s="6"/>
      <c r="E67" s="7"/>
      <c r="F67" s="8">
        <f t="shared" ref="F67" si="5">D67*E67</f>
        <v>0</v>
      </c>
      <c r="G67" s="97" t="s">
        <v>460</v>
      </c>
      <c r="H67" s="72">
        <v>105</v>
      </c>
      <c r="I67" s="18">
        <v>1500</v>
      </c>
      <c r="J67" s="15">
        <f t="shared" si="4"/>
        <v>157500</v>
      </c>
    </row>
    <row r="68" spans="1:13" x14ac:dyDescent="0.25">
      <c r="B68" s="20"/>
      <c r="C68" s="5"/>
      <c r="D68" s="6"/>
      <c r="E68" s="7"/>
      <c r="F68" s="8"/>
      <c r="G68" s="17" t="s">
        <v>461</v>
      </c>
      <c r="H68" s="72">
        <v>105</v>
      </c>
      <c r="I68" s="18">
        <v>1500</v>
      </c>
      <c r="J68" s="15">
        <f>H68*I68</f>
        <v>157500</v>
      </c>
    </row>
    <row r="69" spans="1:13" x14ac:dyDescent="0.25">
      <c r="B69" s="20"/>
      <c r="C69" s="5"/>
      <c r="D69" s="6"/>
      <c r="E69" s="7"/>
      <c r="F69" s="8"/>
      <c r="G69" s="97" t="s">
        <v>493</v>
      </c>
      <c r="H69" s="72">
        <v>105</v>
      </c>
      <c r="I69" s="18">
        <v>1500</v>
      </c>
      <c r="J69" s="15">
        <f>H69*I69</f>
        <v>157500</v>
      </c>
    </row>
    <row r="70" spans="1:13" x14ac:dyDescent="0.25">
      <c r="B70" s="20"/>
      <c r="C70" s="5"/>
      <c r="D70" s="6"/>
      <c r="E70" s="7"/>
      <c r="F70" s="8"/>
      <c r="G70" s="17"/>
      <c r="H70" s="72"/>
      <c r="I70" s="18"/>
      <c r="J70" s="15"/>
    </row>
    <row r="71" spans="1:13" x14ac:dyDescent="0.25">
      <c r="B71" s="20"/>
      <c r="C71" s="5"/>
      <c r="D71" s="6"/>
      <c r="E71" s="7"/>
      <c r="F71" s="8"/>
      <c r="G71" s="17"/>
      <c r="H71" s="29"/>
      <c r="I71" s="18"/>
      <c r="J71" s="15"/>
    </row>
    <row r="72" spans="1:13" x14ac:dyDescent="0.25">
      <c r="B72" s="113" t="s">
        <v>12</v>
      </c>
      <c r="C72" s="113"/>
      <c r="D72" s="113"/>
      <c r="E72" s="113"/>
      <c r="F72" s="114">
        <f>SUM(F66:F71)</f>
        <v>450000</v>
      </c>
      <c r="G72" s="115" t="s">
        <v>12</v>
      </c>
      <c r="H72" s="115"/>
      <c r="I72" s="115"/>
      <c r="J72" s="116">
        <f>SUM(J65:J71)</f>
        <v>787500</v>
      </c>
    </row>
    <row r="73" spans="1:13" ht="15.75" thickBot="1" x14ac:dyDescent="0.3">
      <c r="B73" s="113"/>
      <c r="C73" s="113"/>
      <c r="D73" s="113"/>
      <c r="E73" s="113"/>
      <c r="F73" s="114"/>
      <c r="G73" s="115"/>
      <c r="H73" s="115"/>
      <c r="I73" s="115"/>
      <c r="J73" s="116"/>
    </row>
    <row r="74" spans="1:13" ht="14.85" customHeight="1" x14ac:dyDescent="0.25">
      <c r="B74" s="121" t="s">
        <v>499</v>
      </c>
      <c r="C74" s="121"/>
      <c r="D74" s="121"/>
      <c r="E74" s="121"/>
      <c r="F74" s="121"/>
      <c r="G74" s="121"/>
      <c r="H74" s="121"/>
      <c r="I74" s="121"/>
      <c r="J74" s="121"/>
    </row>
    <row r="75" spans="1:13" x14ac:dyDescent="0.25">
      <c r="B75" s="122" t="s">
        <v>0</v>
      </c>
      <c r="C75" s="123" t="s">
        <v>1</v>
      </c>
      <c r="D75" s="123"/>
      <c r="E75" s="123"/>
      <c r="F75" s="123"/>
      <c r="G75" s="112" t="s">
        <v>2</v>
      </c>
      <c r="H75" s="112"/>
      <c r="I75" s="112"/>
      <c r="J75" s="112"/>
    </row>
    <row r="76" spans="1:13" x14ac:dyDescent="0.25">
      <c r="B76" s="122"/>
      <c r="C76" s="2" t="s">
        <v>3</v>
      </c>
      <c r="D76" s="3" t="s">
        <v>4</v>
      </c>
      <c r="E76" s="3" t="s">
        <v>5</v>
      </c>
      <c r="F76" s="3" t="s">
        <v>6</v>
      </c>
      <c r="G76" s="2" t="s">
        <v>3</v>
      </c>
      <c r="H76" s="3" t="s">
        <v>4</v>
      </c>
      <c r="I76" s="3" t="s">
        <v>5</v>
      </c>
      <c r="J76" s="4" t="s">
        <v>6</v>
      </c>
    </row>
    <row r="77" spans="1:13" x14ac:dyDescent="0.25">
      <c r="B77" s="124"/>
      <c r="C77" s="5" t="s">
        <v>43</v>
      </c>
      <c r="D77" s="6">
        <v>300</v>
      </c>
      <c r="E77" s="7">
        <v>5000</v>
      </c>
      <c r="F77" s="8">
        <f t="shared" ref="F77:F101" si="6">D77*E77</f>
        <v>1500000</v>
      </c>
      <c r="G77" s="23" t="s">
        <v>42</v>
      </c>
      <c r="H77" s="6">
        <v>5</v>
      </c>
      <c r="I77" s="7">
        <v>15000</v>
      </c>
      <c r="J77" s="15">
        <f>H77*I77</f>
        <v>75000</v>
      </c>
      <c r="K77" t="s">
        <v>462</v>
      </c>
    </row>
    <row r="78" spans="1:13" x14ac:dyDescent="0.25">
      <c r="B78" s="124"/>
      <c r="C78" s="5" t="s">
        <v>45</v>
      </c>
      <c r="D78" s="12">
        <v>150</v>
      </c>
      <c r="E78" s="13">
        <v>2000</v>
      </c>
      <c r="F78" s="8">
        <f t="shared" si="6"/>
        <v>300000</v>
      </c>
      <c r="G78" s="23" t="s">
        <v>76</v>
      </c>
      <c r="H78" s="14">
        <v>10</v>
      </c>
      <c r="I78" s="7">
        <v>15000</v>
      </c>
      <c r="J78" s="15">
        <f t="shared" ref="J78:J112" si="7">H78*I78</f>
        <v>150000</v>
      </c>
    </row>
    <row r="79" spans="1:13" x14ac:dyDescent="0.25">
      <c r="B79" s="124"/>
      <c r="C79" s="5" t="s">
        <v>46</v>
      </c>
      <c r="D79" s="6">
        <v>300</v>
      </c>
      <c r="E79" s="7">
        <v>1000</v>
      </c>
      <c r="F79" s="8">
        <f t="shared" si="6"/>
        <v>300000</v>
      </c>
      <c r="G79" s="23" t="s">
        <v>47</v>
      </c>
      <c r="H79" s="14">
        <v>5</v>
      </c>
      <c r="I79" s="7">
        <v>15000</v>
      </c>
      <c r="J79" s="15">
        <f t="shared" si="7"/>
        <v>75000</v>
      </c>
    </row>
    <row r="80" spans="1:13" x14ac:dyDescent="0.25">
      <c r="A80">
        <v>540</v>
      </c>
      <c r="B80" s="124"/>
      <c r="C80" s="5" t="s">
        <v>48</v>
      </c>
      <c r="D80" s="14">
        <v>100</v>
      </c>
      <c r="E80" s="18">
        <v>5000</v>
      </c>
      <c r="F80" s="8">
        <f t="shared" si="6"/>
        <v>500000</v>
      </c>
      <c r="G80" s="23" t="s">
        <v>52</v>
      </c>
      <c r="H80" s="14">
        <v>10</v>
      </c>
      <c r="I80" s="18">
        <v>15000</v>
      </c>
      <c r="J80" s="15">
        <f t="shared" si="7"/>
        <v>150000</v>
      </c>
      <c r="M80" t="s">
        <v>507</v>
      </c>
    </row>
    <row r="81" spans="2:13" x14ac:dyDescent="0.25">
      <c r="B81" s="124"/>
      <c r="C81" s="5" t="s">
        <v>74</v>
      </c>
      <c r="D81" s="6">
        <v>20</v>
      </c>
      <c r="E81" s="18">
        <v>5000</v>
      </c>
      <c r="F81" s="8">
        <f t="shared" si="6"/>
        <v>100000</v>
      </c>
      <c r="G81" s="23" t="s">
        <v>50</v>
      </c>
      <c r="H81" s="14">
        <v>10</v>
      </c>
      <c r="I81" s="18">
        <v>15000</v>
      </c>
      <c r="J81" s="15">
        <f t="shared" si="7"/>
        <v>150000</v>
      </c>
    </row>
    <row r="82" spans="2:13" x14ac:dyDescent="0.25">
      <c r="B82" s="124"/>
      <c r="C82" s="11"/>
      <c r="D82" s="12"/>
      <c r="E82" s="7"/>
      <c r="F82" s="8">
        <f t="shared" si="6"/>
        <v>0</v>
      </c>
      <c r="G82" s="11" t="s">
        <v>54</v>
      </c>
      <c r="H82" s="12">
        <v>5</v>
      </c>
      <c r="I82" s="18">
        <v>8000</v>
      </c>
      <c r="J82" s="15">
        <f t="shared" si="7"/>
        <v>40000</v>
      </c>
      <c r="M82" t="s">
        <v>508</v>
      </c>
    </row>
    <row r="83" spans="2:13" x14ac:dyDescent="0.25">
      <c r="B83" s="124"/>
      <c r="C83" s="5" t="s">
        <v>8</v>
      </c>
      <c r="D83" s="1">
        <v>7</v>
      </c>
      <c r="E83" s="7">
        <v>90000</v>
      </c>
      <c r="F83" s="8">
        <f t="shared" si="6"/>
        <v>630000</v>
      </c>
      <c r="G83" s="23" t="s">
        <v>441</v>
      </c>
      <c r="H83" s="14">
        <v>10</v>
      </c>
      <c r="I83" s="18">
        <v>8000</v>
      </c>
      <c r="J83" s="15">
        <f>H82*I83</f>
        <v>40000</v>
      </c>
      <c r="M83" t="s">
        <v>509</v>
      </c>
    </row>
    <row r="84" spans="2:13" x14ac:dyDescent="0.25">
      <c r="B84" s="124"/>
      <c r="C84" s="5"/>
      <c r="D84" s="6"/>
      <c r="E84" s="7"/>
      <c r="F84" s="8">
        <f t="shared" si="6"/>
        <v>0</v>
      </c>
      <c r="G84" s="11" t="s">
        <v>71</v>
      </c>
      <c r="H84" s="6">
        <v>10</v>
      </c>
      <c r="I84" s="18">
        <v>8000</v>
      </c>
      <c r="J84" s="15">
        <f>H83*I84</f>
        <v>80000</v>
      </c>
    </row>
    <row r="85" spans="2:13" x14ac:dyDescent="0.25">
      <c r="B85" s="124"/>
      <c r="C85" s="5"/>
      <c r="D85" s="6"/>
      <c r="E85" s="7"/>
      <c r="F85" s="8">
        <f t="shared" si="6"/>
        <v>0</v>
      </c>
      <c r="G85" s="11" t="s">
        <v>53</v>
      </c>
      <c r="H85" s="103">
        <v>10</v>
      </c>
      <c r="I85" s="18">
        <v>8000</v>
      </c>
      <c r="J85" s="15">
        <f t="shared" ref="J85:J91" si="8">H84*I85</f>
        <v>80000</v>
      </c>
    </row>
    <row r="86" spans="2:13" x14ac:dyDescent="0.25">
      <c r="B86" s="124"/>
      <c r="C86" s="5"/>
      <c r="D86" s="6"/>
      <c r="E86" s="7"/>
      <c r="F86" s="8">
        <f t="shared" si="6"/>
        <v>0</v>
      </c>
      <c r="G86" s="11" t="s">
        <v>425</v>
      </c>
      <c r="H86" s="12">
        <v>5</v>
      </c>
      <c r="I86" s="18">
        <v>5000</v>
      </c>
      <c r="J86" s="15">
        <f t="shared" si="8"/>
        <v>50000</v>
      </c>
    </row>
    <row r="87" spans="2:13" x14ac:dyDescent="0.25">
      <c r="B87" s="124"/>
      <c r="C87" s="5"/>
      <c r="D87" s="6"/>
      <c r="E87" s="7"/>
      <c r="F87" s="8"/>
      <c r="G87" s="11" t="s">
        <v>51</v>
      </c>
      <c r="H87" s="12">
        <v>5</v>
      </c>
      <c r="I87" s="18">
        <v>5000</v>
      </c>
      <c r="J87" s="15">
        <f t="shared" si="8"/>
        <v>25000</v>
      </c>
    </row>
    <row r="88" spans="2:13" x14ac:dyDescent="0.25">
      <c r="B88" s="124"/>
      <c r="C88" s="5"/>
      <c r="D88" s="6"/>
      <c r="E88" s="7"/>
      <c r="F88" s="8"/>
      <c r="G88" s="11" t="s">
        <v>495</v>
      </c>
      <c r="H88" s="12">
        <v>5</v>
      </c>
      <c r="I88" s="18">
        <v>5000</v>
      </c>
      <c r="J88" s="15">
        <f t="shared" si="8"/>
        <v>25000</v>
      </c>
    </row>
    <row r="89" spans="2:13" x14ac:dyDescent="0.25">
      <c r="B89" s="124"/>
      <c r="C89" s="5"/>
      <c r="D89" s="6"/>
      <c r="E89" s="7"/>
      <c r="F89" s="8"/>
      <c r="G89" s="11" t="s">
        <v>496</v>
      </c>
      <c r="H89" s="12">
        <v>5</v>
      </c>
      <c r="I89" s="18">
        <v>5000</v>
      </c>
      <c r="J89" s="15">
        <f t="shared" si="8"/>
        <v>25000</v>
      </c>
    </row>
    <row r="90" spans="2:13" x14ac:dyDescent="0.25">
      <c r="B90" s="124"/>
      <c r="C90" s="5"/>
      <c r="D90" s="6"/>
      <c r="E90" s="7"/>
      <c r="F90" s="8"/>
      <c r="G90" s="11" t="s">
        <v>497</v>
      </c>
      <c r="H90" s="12">
        <v>5</v>
      </c>
      <c r="I90" s="18">
        <v>5000</v>
      </c>
      <c r="J90" s="15">
        <f t="shared" si="8"/>
        <v>25000</v>
      </c>
    </row>
    <row r="91" spans="2:13" x14ac:dyDescent="0.25">
      <c r="B91" s="124"/>
      <c r="C91" s="5"/>
      <c r="D91" s="6"/>
      <c r="E91" s="7"/>
      <c r="F91" s="8"/>
      <c r="G91" s="11" t="s">
        <v>500</v>
      </c>
      <c r="H91" s="12">
        <v>5</v>
      </c>
      <c r="I91" s="18">
        <v>15000</v>
      </c>
      <c r="J91" s="15">
        <f t="shared" si="8"/>
        <v>75000</v>
      </c>
    </row>
    <row r="92" spans="2:13" x14ac:dyDescent="0.25">
      <c r="B92" s="124"/>
      <c r="C92" s="5"/>
      <c r="D92" s="6"/>
      <c r="E92" s="7"/>
      <c r="F92" s="8">
        <f t="shared" si="6"/>
        <v>0</v>
      </c>
      <c r="G92" s="23"/>
      <c r="H92" s="94"/>
      <c r="I92" s="18"/>
      <c r="J92" s="15"/>
    </row>
    <row r="93" spans="2:13" x14ac:dyDescent="0.25">
      <c r="B93" s="124"/>
      <c r="C93" s="5"/>
      <c r="D93" s="6"/>
      <c r="E93" s="7"/>
      <c r="F93" s="8">
        <f t="shared" si="6"/>
        <v>0</v>
      </c>
      <c r="G93" s="23" t="s">
        <v>55</v>
      </c>
      <c r="H93" s="14">
        <v>1</v>
      </c>
      <c r="I93" s="18">
        <v>194000</v>
      </c>
      <c r="J93" s="15">
        <f t="shared" si="7"/>
        <v>194000</v>
      </c>
    </row>
    <row r="94" spans="2:13" x14ac:dyDescent="0.25">
      <c r="B94" s="124"/>
      <c r="C94" s="5"/>
      <c r="D94" s="6"/>
      <c r="E94" s="7"/>
      <c r="F94" s="8">
        <f t="shared" si="6"/>
        <v>0</v>
      </c>
      <c r="G94" s="23" t="s">
        <v>56</v>
      </c>
      <c r="H94" s="94">
        <v>2</v>
      </c>
      <c r="I94" s="18">
        <v>8667</v>
      </c>
      <c r="J94" s="15">
        <f t="shared" si="7"/>
        <v>17334</v>
      </c>
    </row>
    <row r="95" spans="2:13" x14ac:dyDescent="0.25">
      <c r="B95" s="124"/>
      <c r="C95" s="5"/>
      <c r="D95" s="6"/>
      <c r="E95" s="7"/>
      <c r="F95" s="8">
        <f t="shared" si="6"/>
        <v>0</v>
      </c>
      <c r="G95" s="23" t="s">
        <v>57</v>
      </c>
      <c r="H95" s="94">
        <v>2</v>
      </c>
      <c r="I95" s="18">
        <v>13333</v>
      </c>
      <c r="J95" s="15">
        <f t="shared" si="7"/>
        <v>26666</v>
      </c>
    </row>
    <row r="96" spans="2:13" x14ac:dyDescent="0.25">
      <c r="B96" s="124"/>
      <c r="C96" s="99"/>
      <c r="D96" s="93"/>
      <c r="E96" s="7"/>
      <c r="F96" s="8">
        <f t="shared" si="6"/>
        <v>0</v>
      </c>
      <c r="G96" s="23" t="s">
        <v>67</v>
      </c>
      <c r="H96" s="94">
        <v>1</v>
      </c>
      <c r="I96" s="18">
        <v>42667</v>
      </c>
      <c r="J96" s="15">
        <f t="shared" si="7"/>
        <v>42667</v>
      </c>
    </row>
    <row r="97" spans="2:12" x14ac:dyDescent="0.25">
      <c r="B97" s="124"/>
      <c r="C97" s="5"/>
      <c r="D97" s="6"/>
      <c r="E97" s="7"/>
      <c r="F97" s="8">
        <f t="shared" si="6"/>
        <v>0</v>
      </c>
      <c r="G97" s="23" t="s">
        <v>68</v>
      </c>
      <c r="H97" s="94">
        <v>1</v>
      </c>
      <c r="I97" s="18">
        <v>13333</v>
      </c>
      <c r="J97" s="15">
        <f t="shared" si="7"/>
        <v>13333</v>
      </c>
    </row>
    <row r="98" spans="2:12" x14ac:dyDescent="0.25">
      <c r="B98" s="124"/>
      <c r="C98" s="5"/>
      <c r="D98" s="6"/>
      <c r="E98" s="7"/>
      <c r="F98" s="8">
        <f t="shared" si="6"/>
        <v>0</v>
      </c>
      <c r="G98" s="23" t="s">
        <v>90</v>
      </c>
      <c r="H98" s="94">
        <v>1</v>
      </c>
      <c r="I98" s="18">
        <v>7333</v>
      </c>
      <c r="J98" s="15">
        <f t="shared" si="7"/>
        <v>7333</v>
      </c>
    </row>
    <row r="99" spans="2:12" x14ac:dyDescent="0.25">
      <c r="B99" s="124"/>
      <c r="C99" s="5"/>
      <c r="D99" s="6"/>
      <c r="E99" s="7"/>
      <c r="F99" s="8">
        <f t="shared" si="6"/>
        <v>0</v>
      </c>
      <c r="G99" s="23" t="s">
        <v>82</v>
      </c>
      <c r="H99" s="94">
        <v>1</v>
      </c>
      <c r="I99" s="18">
        <v>12000</v>
      </c>
      <c r="J99" s="15">
        <f t="shared" si="7"/>
        <v>12000</v>
      </c>
    </row>
    <row r="100" spans="2:12" x14ac:dyDescent="0.25">
      <c r="B100" s="124"/>
      <c r="C100" s="5"/>
      <c r="D100" s="6"/>
      <c r="E100" s="7"/>
      <c r="F100" s="8">
        <f t="shared" si="6"/>
        <v>0</v>
      </c>
      <c r="G100" s="23" t="s">
        <v>58</v>
      </c>
      <c r="H100" s="94">
        <v>2</v>
      </c>
      <c r="I100" s="18">
        <v>7333</v>
      </c>
      <c r="J100" s="15">
        <f t="shared" si="7"/>
        <v>14666</v>
      </c>
      <c r="L100">
        <v>29</v>
      </c>
    </row>
    <row r="101" spans="2:12" x14ac:dyDescent="0.25">
      <c r="B101" s="124"/>
      <c r="C101" s="5"/>
      <c r="D101" s="6"/>
      <c r="E101" s="7"/>
      <c r="F101" s="8">
        <f t="shared" si="6"/>
        <v>0</v>
      </c>
      <c r="G101" s="23" t="s">
        <v>91</v>
      </c>
      <c r="H101" s="94">
        <v>2</v>
      </c>
      <c r="I101" s="18">
        <v>18000</v>
      </c>
      <c r="J101" s="15">
        <f t="shared" si="7"/>
        <v>36000</v>
      </c>
    </row>
    <row r="102" spans="2:12" x14ac:dyDescent="0.25">
      <c r="B102" s="124"/>
      <c r="C102" s="5"/>
      <c r="D102" s="6"/>
      <c r="E102" s="7"/>
      <c r="F102" s="8"/>
      <c r="G102" s="23" t="s">
        <v>89</v>
      </c>
      <c r="H102" s="94">
        <v>1</v>
      </c>
      <c r="I102" s="18">
        <v>70000</v>
      </c>
      <c r="J102" s="15">
        <f t="shared" si="7"/>
        <v>70000</v>
      </c>
    </row>
    <row r="103" spans="2:12" x14ac:dyDescent="0.25">
      <c r="B103" s="124"/>
      <c r="C103" s="5"/>
      <c r="D103" s="6"/>
      <c r="E103" s="7"/>
      <c r="F103" s="8"/>
      <c r="G103" s="11" t="s">
        <v>83</v>
      </c>
      <c r="H103" s="12">
        <v>1</v>
      </c>
      <c r="I103" s="18">
        <v>70000</v>
      </c>
      <c r="J103" s="15">
        <f t="shared" si="7"/>
        <v>70000</v>
      </c>
    </row>
    <row r="104" spans="2:12" x14ac:dyDescent="0.25">
      <c r="B104" s="124"/>
      <c r="C104" s="5"/>
      <c r="D104" s="6"/>
      <c r="E104" s="7"/>
      <c r="F104" s="8"/>
      <c r="G104" s="11" t="s">
        <v>84</v>
      </c>
      <c r="H104" s="12">
        <v>1</v>
      </c>
      <c r="I104" s="18">
        <v>12000</v>
      </c>
      <c r="J104" s="15">
        <f t="shared" si="7"/>
        <v>12000</v>
      </c>
    </row>
    <row r="105" spans="2:12" x14ac:dyDescent="0.25">
      <c r="B105" s="124"/>
      <c r="C105" s="5"/>
      <c r="D105" s="14"/>
      <c r="E105" s="18"/>
      <c r="F105" s="8"/>
      <c r="G105" s="23" t="s">
        <v>59</v>
      </c>
      <c r="H105" s="14">
        <v>2</v>
      </c>
      <c r="I105" s="18">
        <v>16000</v>
      </c>
      <c r="J105" s="15">
        <f t="shared" si="7"/>
        <v>32000</v>
      </c>
    </row>
    <row r="106" spans="2:12" x14ac:dyDescent="0.25">
      <c r="B106" s="124"/>
      <c r="C106" s="5"/>
      <c r="D106" s="6"/>
      <c r="E106" s="7"/>
      <c r="F106" s="8"/>
      <c r="G106" s="23" t="s">
        <v>60</v>
      </c>
      <c r="H106" s="14">
        <v>1</v>
      </c>
      <c r="I106" s="18">
        <v>40000</v>
      </c>
      <c r="J106" s="15">
        <f t="shared" si="7"/>
        <v>40000</v>
      </c>
    </row>
    <row r="107" spans="2:12" x14ac:dyDescent="0.25">
      <c r="B107" s="124"/>
      <c r="C107" s="11"/>
      <c r="D107" s="11"/>
      <c r="E107" s="11"/>
      <c r="F107" s="8"/>
      <c r="G107" s="11" t="s">
        <v>61</v>
      </c>
      <c r="H107" s="6">
        <v>3</v>
      </c>
      <c r="I107" s="18">
        <v>42000</v>
      </c>
      <c r="J107" s="15">
        <f t="shared" si="7"/>
        <v>126000</v>
      </c>
    </row>
    <row r="108" spans="2:12" x14ac:dyDescent="0.25">
      <c r="B108" s="24"/>
      <c r="C108" s="11"/>
      <c r="D108" s="11"/>
      <c r="E108" s="11"/>
      <c r="F108" s="8"/>
      <c r="G108" s="11" t="s">
        <v>62</v>
      </c>
      <c r="H108" s="6">
        <v>1</v>
      </c>
      <c r="I108" s="18">
        <v>40000</v>
      </c>
      <c r="J108" s="15">
        <f t="shared" si="7"/>
        <v>40000</v>
      </c>
    </row>
    <row r="109" spans="2:12" x14ac:dyDescent="0.25">
      <c r="B109" s="24"/>
      <c r="C109" s="11"/>
      <c r="D109" s="11"/>
      <c r="E109" s="11"/>
      <c r="F109" s="8"/>
      <c r="G109" s="11" t="s">
        <v>87</v>
      </c>
      <c r="H109" s="6">
        <v>1</v>
      </c>
      <c r="I109" s="18">
        <v>80000</v>
      </c>
      <c r="J109" s="15">
        <f t="shared" si="7"/>
        <v>80000</v>
      </c>
    </row>
    <row r="110" spans="2:12" x14ac:dyDescent="0.25">
      <c r="B110" s="24"/>
      <c r="C110" s="11"/>
      <c r="D110" s="11"/>
      <c r="E110" s="11"/>
      <c r="F110" s="8"/>
      <c r="G110" s="11" t="s">
        <v>63</v>
      </c>
      <c r="H110" s="6">
        <v>1</v>
      </c>
      <c r="I110" s="18">
        <v>70000</v>
      </c>
      <c r="J110" s="15">
        <f t="shared" si="7"/>
        <v>70000</v>
      </c>
    </row>
    <row r="111" spans="2:12" x14ac:dyDescent="0.25">
      <c r="B111" s="24"/>
      <c r="C111" s="74"/>
      <c r="D111" s="74"/>
      <c r="E111" s="74"/>
      <c r="F111" s="8"/>
      <c r="G111" s="11" t="s">
        <v>338</v>
      </c>
      <c r="H111" s="6">
        <v>2</v>
      </c>
      <c r="I111" s="18">
        <v>40000</v>
      </c>
      <c r="J111" s="15">
        <f t="shared" si="7"/>
        <v>80000</v>
      </c>
    </row>
    <row r="112" spans="2:12" x14ac:dyDescent="0.25">
      <c r="B112" s="24"/>
      <c r="C112" s="74"/>
      <c r="D112" s="74"/>
      <c r="E112" s="74"/>
      <c r="F112" s="8"/>
      <c r="G112" s="11" t="s">
        <v>85</v>
      </c>
      <c r="H112" s="6">
        <v>2</v>
      </c>
      <c r="I112" s="18">
        <v>50000</v>
      </c>
      <c r="J112" s="15">
        <f t="shared" si="7"/>
        <v>100000</v>
      </c>
    </row>
    <row r="113" spans="2:10" x14ac:dyDescent="0.25">
      <c r="B113" s="24"/>
      <c r="C113" s="74"/>
      <c r="D113" s="74"/>
      <c r="E113" s="74"/>
      <c r="F113" s="8"/>
      <c r="G113" s="11" t="s">
        <v>339</v>
      </c>
      <c r="H113" s="6"/>
      <c r="I113" s="18"/>
      <c r="J113" s="15"/>
    </row>
    <row r="114" spans="2:10" x14ac:dyDescent="0.25">
      <c r="B114" s="113" t="s">
        <v>12</v>
      </c>
      <c r="C114" s="113"/>
      <c r="D114" s="113"/>
      <c r="E114" s="113"/>
      <c r="F114" s="114">
        <f>SUM(F77:F107)</f>
        <v>3330000</v>
      </c>
      <c r="G114" s="115" t="s">
        <v>12</v>
      </c>
      <c r="H114" s="115"/>
      <c r="I114" s="115"/>
      <c r="J114" s="116">
        <f>SUM(J77:J113)</f>
        <v>2148999</v>
      </c>
    </row>
    <row r="115" spans="2:10" ht="15.75" thickBot="1" x14ac:dyDescent="0.3">
      <c r="B115" s="113"/>
      <c r="C115" s="113"/>
      <c r="D115" s="113"/>
      <c r="E115" s="113"/>
      <c r="F115" s="114"/>
      <c r="G115" s="115"/>
      <c r="H115" s="115"/>
      <c r="I115" s="115"/>
      <c r="J115" s="116"/>
    </row>
    <row r="116" spans="2:10" x14ac:dyDescent="0.25">
      <c r="B116" s="121" t="s">
        <v>498</v>
      </c>
      <c r="C116" s="121"/>
      <c r="D116" s="121"/>
      <c r="E116" s="121"/>
      <c r="F116" s="121"/>
      <c r="G116" s="121"/>
      <c r="H116" s="121"/>
      <c r="I116" s="121"/>
      <c r="J116" s="121"/>
    </row>
    <row r="117" spans="2:10" x14ac:dyDescent="0.25">
      <c r="B117" s="122" t="s">
        <v>0</v>
      </c>
      <c r="C117" s="123" t="s">
        <v>1</v>
      </c>
      <c r="D117" s="123"/>
      <c r="E117" s="123"/>
      <c r="F117" s="123"/>
      <c r="G117" s="112" t="s">
        <v>2</v>
      </c>
      <c r="H117" s="112"/>
      <c r="I117" s="112"/>
      <c r="J117" s="112"/>
    </row>
    <row r="118" spans="2:10" x14ac:dyDescent="0.25">
      <c r="B118" s="122"/>
      <c r="C118" s="2" t="s">
        <v>3</v>
      </c>
      <c r="D118" s="3" t="s">
        <v>4</v>
      </c>
      <c r="E118" s="3" t="s">
        <v>5</v>
      </c>
      <c r="F118" s="3" t="s">
        <v>6</v>
      </c>
      <c r="G118" s="2" t="s">
        <v>3</v>
      </c>
      <c r="H118" s="3" t="s">
        <v>4</v>
      </c>
      <c r="I118" s="3" t="s">
        <v>5</v>
      </c>
      <c r="J118" s="4" t="s">
        <v>6</v>
      </c>
    </row>
    <row r="119" spans="2:10" x14ac:dyDescent="0.25">
      <c r="B119" s="2"/>
      <c r="C119" s="100" t="s">
        <v>75</v>
      </c>
      <c r="D119" s="6">
        <v>80</v>
      </c>
      <c r="E119" s="7">
        <v>30000</v>
      </c>
      <c r="F119" s="8">
        <f>D119*E119</f>
        <v>2400000</v>
      </c>
      <c r="G119" s="71" t="s">
        <v>501</v>
      </c>
      <c r="H119" s="72">
        <v>22</v>
      </c>
      <c r="I119" s="18">
        <v>1500</v>
      </c>
      <c r="J119" s="15">
        <f t="shared" ref="J119:J121" si="9">H119*I119</f>
        <v>33000</v>
      </c>
    </row>
    <row r="120" spans="2:10" x14ac:dyDescent="0.25">
      <c r="B120" s="20"/>
      <c r="C120" s="5" t="s">
        <v>8</v>
      </c>
      <c r="D120" s="6">
        <v>10</v>
      </c>
      <c r="E120" s="7">
        <v>90000</v>
      </c>
      <c r="F120" s="8">
        <f>D120*E120</f>
        <v>900000</v>
      </c>
      <c r="G120" s="73" t="s">
        <v>36</v>
      </c>
      <c r="H120" s="72">
        <v>22</v>
      </c>
      <c r="I120" s="18">
        <v>1500</v>
      </c>
      <c r="J120" s="15">
        <f t="shared" si="9"/>
        <v>33000</v>
      </c>
    </row>
    <row r="121" spans="2:10" x14ac:dyDescent="0.25">
      <c r="B121" s="20"/>
      <c r="C121" s="5"/>
      <c r="D121" s="6"/>
      <c r="E121" s="7"/>
      <c r="F121" s="8">
        <f t="shared" ref="F121:F123" si="10">D121*E121</f>
        <v>0</v>
      </c>
      <c r="G121" s="73" t="s">
        <v>411</v>
      </c>
      <c r="H121" s="72">
        <v>22</v>
      </c>
      <c r="I121" s="18">
        <v>1500</v>
      </c>
      <c r="J121" s="15">
        <f t="shared" si="9"/>
        <v>33000</v>
      </c>
    </row>
    <row r="122" spans="2:10" x14ac:dyDescent="0.25">
      <c r="B122" s="20"/>
      <c r="C122" s="5" t="s">
        <v>337</v>
      </c>
      <c r="D122" s="6">
        <v>200</v>
      </c>
      <c r="E122" s="7">
        <v>1500</v>
      </c>
      <c r="F122" s="8">
        <f t="shared" si="10"/>
        <v>300000</v>
      </c>
      <c r="G122" s="73" t="s">
        <v>331</v>
      </c>
      <c r="H122" s="72">
        <v>22</v>
      </c>
      <c r="I122" s="18">
        <v>1500</v>
      </c>
      <c r="J122" s="15">
        <f>H122*I122</f>
        <v>33000</v>
      </c>
    </row>
    <row r="123" spans="2:10" x14ac:dyDescent="0.25">
      <c r="B123" s="20"/>
      <c r="C123" s="98"/>
      <c r="D123" s="6"/>
      <c r="E123" s="7"/>
      <c r="F123" s="8">
        <f t="shared" si="10"/>
        <v>0</v>
      </c>
      <c r="G123" s="73" t="s">
        <v>330</v>
      </c>
      <c r="H123" s="72">
        <v>22</v>
      </c>
      <c r="I123" s="18">
        <v>1500</v>
      </c>
      <c r="J123" s="15">
        <f>H123*I123</f>
        <v>33000</v>
      </c>
    </row>
    <row r="124" spans="2:10" x14ac:dyDescent="0.25">
      <c r="B124" s="20"/>
      <c r="C124" s="5"/>
      <c r="D124" s="6"/>
      <c r="E124" s="7"/>
      <c r="F124" s="8"/>
      <c r="G124" s="73" t="s">
        <v>420</v>
      </c>
      <c r="H124" s="72">
        <v>22</v>
      </c>
      <c r="I124" s="18">
        <v>1500</v>
      </c>
      <c r="J124" s="15">
        <f>H124*I124</f>
        <v>33000</v>
      </c>
    </row>
    <row r="125" spans="2:10" x14ac:dyDescent="0.25">
      <c r="B125" s="20"/>
      <c r="C125" s="5"/>
      <c r="D125" s="6"/>
      <c r="E125" s="7"/>
      <c r="F125" s="8"/>
      <c r="G125" s="73" t="s">
        <v>502</v>
      </c>
      <c r="H125" s="72">
        <v>22</v>
      </c>
      <c r="I125" s="18">
        <v>1500</v>
      </c>
      <c r="J125" s="15">
        <f t="shared" ref="J125:J130" si="11">H125*I125</f>
        <v>33000</v>
      </c>
    </row>
    <row r="126" spans="2:10" x14ac:dyDescent="0.25">
      <c r="B126" s="20"/>
      <c r="C126" s="5"/>
      <c r="D126" s="6"/>
      <c r="E126" s="7"/>
      <c r="F126" s="8"/>
      <c r="G126" s="73" t="s">
        <v>50</v>
      </c>
      <c r="H126" s="72">
        <v>22</v>
      </c>
      <c r="I126" s="18">
        <v>10000</v>
      </c>
      <c r="J126" s="15">
        <f t="shared" si="11"/>
        <v>220000</v>
      </c>
    </row>
    <row r="127" spans="2:10" x14ac:dyDescent="0.25">
      <c r="B127" s="106"/>
      <c r="C127" s="107"/>
      <c r="D127" s="108"/>
      <c r="E127" s="109"/>
      <c r="F127" s="110"/>
      <c r="G127" s="73" t="s">
        <v>503</v>
      </c>
      <c r="H127" s="72">
        <v>22</v>
      </c>
      <c r="I127" s="18">
        <v>1500</v>
      </c>
      <c r="J127" s="111">
        <f t="shared" si="11"/>
        <v>33000</v>
      </c>
    </row>
    <row r="128" spans="2:10" x14ac:dyDescent="0.25">
      <c r="B128" s="106"/>
      <c r="C128" s="107"/>
      <c r="D128" s="108"/>
      <c r="E128" s="109"/>
      <c r="F128" s="110"/>
      <c r="G128" s="73" t="s">
        <v>504</v>
      </c>
      <c r="H128" s="72">
        <v>22</v>
      </c>
      <c r="I128" s="18">
        <v>1500</v>
      </c>
      <c r="J128" s="111">
        <f t="shared" si="11"/>
        <v>33000</v>
      </c>
    </row>
    <row r="129" spans="2:10" x14ac:dyDescent="0.25">
      <c r="B129" s="106"/>
      <c r="C129" s="107"/>
      <c r="D129" s="108"/>
      <c r="E129" s="109"/>
      <c r="F129" s="110"/>
      <c r="G129" s="73" t="s">
        <v>506</v>
      </c>
      <c r="H129" s="72">
        <v>22</v>
      </c>
      <c r="I129" s="18">
        <v>2000</v>
      </c>
      <c r="J129" s="111">
        <f t="shared" si="11"/>
        <v>44000</v>
      </c>
    </row>
    <row r="130" spans="2:10" x14ac:dyDescent="0.25">
      <c r="G130" s="73" t="s">
        <v>505</v>
      </c>
      <c r="H130" s="72">
        <v>22</v>
      </c>
      <c r="I130" s="18">
        <v>1500</v>
      </c>
      <c r="J130" s="111">
        <f t="shared" si="11"/>
        <v>33000</v>
      </c>
    </row>
    <row r="131" spans="2:10" x14ac:dyDescent="0.25">
      <c r="B131" s="113" t="s">
        <v>12</v>
      </c>
      <c r="C131" s="113"/>
      <c r="D131" s="113"/>
      <c r="E131" s="113"/>
      <c r="F131" s="114">
        <f>SUM(F119:F126)</f>
        <v>3600000</v>
      </c>
      <c r="G131" s="115" t="s">
        <v>12</v>
      </c>
      <c r="H131" s="115"/>
      <c r="I131" s="115"/>
      <c r="J131" s="116">
        <f>SUM(J119:J130)</f>
        <v>594000</v>
      </c>
    </row>
    <row r="132" spans="2:10" x14ac:dyDescent="0.25">
      <c r="B132" s="113"/>
      <c r="C132" s="113"/>
      <c r="D132" s="113"/>
      <c r="E132" s="113"/>
      <c r="F132" s="114"/>
      <c r="G132" s="115"/>
      <c r="H132" s="115"/>
      <c r="I132" s="115"/>
      <c r="J132" s="116"/>
    </row>
    <row r="133" spans="2:10" ht="15.75" thickBot="1" x14ac:dyDescent="0.3">
      <c r="B133" s="117" t="s">
        <v>64</v>
      </c>
      <c r="C133" s="117"/>
      <c r="D133" s="117"/>
      <c r="E133" s="117"/>
      <c r="F133" s="118">
        <f>SUM(F114+F72+F60+F19)</f>
        <v>19430000</v>
      </c>
      <c r="G133" s="119" t="s">
        <v>64</v>
      </c>
      <c r="H133" s="119"/>
      <c r="I133" s="119"/>
      <c r="J133" s="120">
        <f>SUM(J114+J72+J19+J60+J131)</f>
        <v>15971827</v>
      </c>
    </row>
    <row r="134" spans="2:10" ht="15.75" thickBot="1" x14ac:dyDescent="0.3">
      <c r="B134" s="117"/>
      <c r="C134" s="117"/>
      <c r="D134" s="117"/>
      <c r="E134" s="117"/>
      <c r="F134" s="118"/>
      <c r="G134" s="119"/>
      <c r="H134" s="119"/>
      <c r="I134" s="119"/>
      <c r="J134" s="120"/>
    </row>
    <row r="139" spans="2:10" x14ac:dyDescent="0.25">
      <c r="H139" s="104"/>
    </row>
  </sheetData>
  <mergeCells count="49">
    <mergeCell ref="G114:I115"/>
    <mergeCell ref="B133:E134"/>
    <mergeCell ref="F133:F134"/>
    <mergeCell ref="G133:I134"/>
    <mergeCell ref="J133:J134"/>
    <mergeCell ref="B116:J116"/>
    <mergeCell ref="B117:B118"/>
    <mergeCell ref="C117:F117"/>
    <mergeCell ref="G117:J117"/>
    <mergeCell ref="B131:E132"/>
    <mergeCell ref="F131:F132"/>
    <mergeCell ref="G131:I132"/>
    <mergeCell ref="J131:J132"/>
    <mergeCell ref="J114:J115"/>
    <mergeCell ref="B62:J62"/>
    <mergeCell ref="B63:B64"/>
    <mergeCell ref="C63:F63"/>
    <mergeCell ref="G63:J63"/>
    <mergeCell ref="B72:E73"/>
    <mergeCell ref="F72:F73"/>
    <mergeCell ref="G72:I73"/>
    <mergeCell ref="J72:J73"/>
    <mergeCell ref="B74:J74"/>
    <mergeCell ref="B75:B76"/>
    <mergeCell ref="C75:F75"/>
    <mergeCell ref="G75:J75"/>
    <mergeCell ref="B77:B107"/>
    <mergeCell ref="B114:E115"/>
    <mergeCell ref="F114:F115"/>
    <mergeCell ref="B22:B23"/>
    <mergeCell ref="C22:F22"/>
    <mergeCell ref="G22:J22"/>
    <mergeCell ref="B24:B59"/>
    <mergeCell ref="B60:E61"/>
    <mergeCell ref="F60:F61"/>
    <mergeCell ref="G60:I61"/>
    <mergeCell ref="J60:J61"/>
    <mergeCell ref="B21:J21"/>
    <mergeCell ref="B1:J6"/>
    <mergeCell ref="B7:J7"/>
    <mergeCell ref="B8:J8"/>
    <mergeCell ref="B9:B10"/>
    <mergeCell ref="C9:F9"/>
    <mergeCell ref="G9:J9"/>
    <mergeCell ref="B11:B18"/>
    <mergeCell ref="B19:E20"/>
    <mergeCell ref="F19:F20"/>
    <mergeCell ref="G19:I20"/>
    <mergeCell ref="J19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General</vt:lpstr>
      <vt:lpstr>Rubiel_Perez</vt:lpstr>
      <vt:lpstr>Jairo_Marin</vt:lpstr>
      <vt:lpstr>Liliana_Gaviria</vt:lpstr>
      <vt:lpstr>NIdia_Motta</vt:lpstr>
      <vt:lpstr>Mauricio_Asencio</vt:lpstr>
      <vt:lpstr>Ivan_Ibarra</vt:lpstr>
      <vt:lpstr>Luis_Eduardo_Gomez</vt:lpstr>
      <vt:lpstr>Victor_Bonilla</vt:lpstr>
      <vt:lpstr>Cenaida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Nuñez</dc:creator>
  <cp:lastModifiedBy>Edgar Nuñez</cp:lastModifiedBy>
  <dcterms:created xsi:type="dcterms:W3CDTF">2026-04-10T16:20:52Z</dcterms:created>
  <dcterms:modified xsi:type="dcterms:W3CDTF">2026-06-09T15:55:23Z</dcterms:modified>
</cp:coreProperties>
</file>